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sovAA\Desktop\Файлы\Рабочие проекты\Электромонтажные расчеты\"/>
    </mc:Choice>
  </mc:AlternateContent>
  <xr:revisionPtr revIDLastSave="0" documentId="13_ncr:1_{D9FAD6A3-E564-4058-A97A-6D345DA4A2D0}" xr6:coauthVersionLast="45" xr6:coauthVersionMax="45" xr10:uidLastSave="{00000000-0000-0000-0000-000000000000}"/>
  <bookViews>
    <workbookView xWindow="-120" yWindow="-120" windowWidth="29040" windowHeight="15720" xr2:uid="{00000000-000D-0000-FFFF-FFFF00000000}"/>
  </bookViews>
  <sheets>
    <sheet name="Расчет" sheetId="1" r:id="rId1"/>
    <sheet name="Расчет гофры" sheetId="4" r:id="rId2"/>
    <sheet name="Расчет жгута" sheetId="3" r:id="rId3"/>
    <sheet name="Экспорт" sheetId="5" r:id="rId4"/>
    <sheet name="Вспомогательные данные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1" l="1"/>
  <c r="F13" i="1"/>
  <c r="H7" i="4" l="1"/>
  <c r="B12" i="4" l="1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" i="4" l="1"/>
  <c r="B4" i="4"/>
  <c r="B5" i="4"/>
  <c r="B6" i="4"/>
  <c r="B7" i="4"/>
  <c r="B8" i="4"/>
  <c r="B9" i="4"/>
  <c r="B10" i="4"/>
  <c r="B11" i="4"/>
  <c r="B2" i="4"/>
  <c r="C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E7" authorId="0" shapeId="0" xr:uid="{13EAE8EA-664E-4F30-8D1F-A64025E2059A}">
      <text>
        <r>
          <rPr>
            <sz val="9"/>
            <color indexed="81"/>
            <rFont val="Tahoma"/>
            <family val="2"/>
            <charset val="204"/>
          </rPr>
          <t>Заполняем поле "AWG", заполняем "допустимое отклонение", если нужно и нажимаем кнопку.</t>
        </r>
      </text>
    </comment>
    <comment ref="H7" authorId="0" shapeId="0" xr:uid="{D35050F4-14CF-46C7-AD3A-900949C0222E}">
      <text>
        <r>
          <rPr>
            <sz val="9"/>
            <color indexed="81"/>
            <rFont val="Tahoma"/>
            <family val="2"/>
            <charset val="204"/>
          </rPr>
          <t>Заполняем поле "мм²", заполняем "допустимое отклонение", если нужно и нажимаем кнопку.</t>
        </r>
      </text>
    </comment>
    <comment ref="B9" authorId="0" shapeId="0" xr:uid="{6C381FB4-222C-4B00-9468-4049D804BD50}">
      <text>
        <r>
          <rPr>
            <sz val="9"/>
            <color indexed="81"/>
            <rFont val="Tahoma"/>
            <family val="2"/>
            <charset val="204"/>
          </rPr>
          <t xml:space="preserve">Заполняем исходные данные и нажимаем кнопку для расчета. Материал провода выбирается из списка
</t>
        </r>
      </text>
    </comment>
    <comment ref="A12" authorId="0" shapeId="0" xr:uid="{C904AEF7-3B3C-4B65-9038-67B7D3E49984}">
      <text>
        <r>
          <rPr>
            <sz val="9"/>
            <color indexed="81"/>
            <rFont val="Tahoma"/>
            <family val="2"/>
            <charset val="204"/>
          </rPr>
          <t>Здесь будут представлены результаты расчета, важным является значение сечения по ПЭУ</t>
        </r>
      </text>
    </comment>
    <comment ref="B13" authorId="0" shapeId="0" xr:uid="{FE971F16-B16D-4D26-BA9E-7F6FF9DF80DA}">
      <text>
        <r>
          <rPr>
            <sz val="9"/>
            <color indexed="81"/>
            <rFont val="Tahoma"/>
            <family val="2"/>
            <charset val="204"/>
          </rPr>
          <t>Это сопротивление напрямую зависит от "максимальных допустимых потерь" при рабочей температуре.</t>
        </r>
      </text>
    </comment>
    <comment ref="B14" authorId="0" shapeId="0" xr:uid="{3E9D80B6-D4D9-478E-9155-83100ACFA70C}">
      <text>
        <r>
          <rPr>
            <sz val="9"/>
            <color indexed="81"/>
            <rFont val="Tahoma"/>
            <family val="2"/>
            <charset val="204"/>
          </rPr>
          <t>Сопротивление при 20 С</t>
        </r>
      </text>
    </comment>
    <comment ref="B17" authorId="0" shapeId="0" xr:uid="{089006B6-08A8-4D11-BEA3-2519FC30B0A6}">
      <text>
        <r>
          <rPr>
            <sz val="9"/>
            <color indexed="81"/>
            <rFont val="Tahoma"/>
            <family val="2"/>
            <charset val="204"/>
          </rPr>
          <t>Итоговое значение падения напряжения</t>
        </r>
      </text>
    </comment>
    <comment ref="B19" authorId="0" shapeId="0" xr:uid="{C6BA7B34-34E6-4B46-88E9-3BE5C9FC7A80}">
      <text>
        <r>
          <rPr>
            <sz val="9"/>
            <color indexed="81"/>
            <rFont val="Tahoma"/>
            <family val="2"/>
            <charset val="204"/>
          </rPr>
          <t xml:space="preserve">Выбираем марку кабеля, нажимаем кнопку. Выбор кабеля происходит по расчетному значению из ячейки B15
</t>
        </r>
      </text>
    </comment>
    <comment ref="D23" authorId="0" shapeId="0" xr:uid="{ACF85C23-710B-4C65-AC37-4CC5C48EF2B4}">
      <text>
        <r>
          <rPr>
            <sz val="9"/>
            <color indexed="81"/>
            <rFont val="Tahoma"/>
            <family val="2"/>
            <charset val="204"/>
          </rPr>
          <t>Проводам в ячейках с A26 можно дать любое имя, на расчет это не влияет. Заполняем длину и ток, материал провода выбираем из списка в ячейке B2, там же устанавливаем допустимые потери, напряжение сети и температуру.
Количество проводов может быть любым, это автоматически настраивается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B1" authorId="0" shapeId="0" xr:uid="{B5D2AE33-B2E7-433A-A794-E71B1AC16705}">
      <text>
        <r>
          <rPr>
            <sz val="9"/>
            <color indexed="81"/>
            <rFont val="Tahoma"/>
            <family val="2"/>
            <charset val="204"/>
          </rPr>
          <t>Автоматически подтягивается с листа с расчетами</t>
        </r>
      </text>
    </comment>
    <comment ref="C1" authorId="0" shapeId="0" xr:uid="{23C4FF81-88ED-4E81-A54B-7A360F2FCFFB}">
      <text>
        <r>
          <rPr>
            <sz val="9"/>
            <color indexed="81"/>
            <rFont val="Tahoma"/>
            <family val="2"/>
            <charset val="204"/>
          </rPr>
          <t xml:space="preserve">Выбираем марку кабеля, нажимаем кнопку. Выбор кабеля происходит по расчетному значению из ячейки B15
</t>
        </r>
      </text>
    </comment>
    <comment ref="D1" authorId="0" shapeId="0" xr:uid="{B4235782-5BAB-43AD-A696-951A8AF0983F}">
      <text>
        <r>
          <rPr>
            <sz val="9"/>
            <color indexed="81"/>
            <rFont val="Tahoma"/>
            <family val="2"/>
            <charset val="204"/>
          </rPr>
          <t xml:space="preserve">Диаметр подтянется автоматически
</t>
        </r>
      </text>
    </comment>
    <comment ref="E1" authorId="0" shapeId="0" xr:uid="{EBF6C9C3-E8EF-4DC5-AA75-F10AC2CA8198}">
      <text>
        <r>
          <rPr>
            <sz val="9"/>
            <color indexed="81"/>
            <rFont val="Tahoma"/>
            <family val="2"/>
            <charset val="204"/>
          </rPr>
          <t>Расчитается автоматически на основе данных сечения и выбранной марки кабеля.Значения берутся с листа "Вспомогательные данные".</t>
        </r>
      </text>
    </comment>
    <comment ref="F1" authorId="0" shapeId="0" xr:uid="{01C07BE7-3006-4F73-B58A-BA006E7D0D62}">
      <text>
        <r>
          <rPr>
            <sz val="9"/>
            <color indexed="81"/>
            <rFont val="Tahoma"/>
            <family val="2"/>
            <charset val="204"/>
          </rPr>
          <t>Сумма всех скорректированных сечений</t>
        </r>
      </text>
    </comment>
    <comment ref="I1" authorId="0" shapeId="0" xr:uid="{53502520-0A41-4B9F-A4A7-8E6B39DF9096}">
      <text>
        <r>
          <rPr>
            <sz val="9"/>
            <color indexed="81"/>
            <rFont val="Tahoma"/>
            <family val="2"/>
            <charset val="204"/>
          </rPr>
          <t>Уже подобран, менять не надо.</t>
        </r>
      </text>
    </comment>
    <comment ref="F4" authorId="0" shapeId="0" xr:uid="{58C509AB-5D57-4263-9AB6-264CAD914333}">
      <text>
        <r>
          <rPr>
            <sz val="9"/>
            <color indexed="81"/>
            <rFont val="Tahoma"/>
            <family val="2"/>
            <charset val="204"/>
          </rPr>
          <t>Расчет суммарного сечения проводов, построение плотного расположения проводов и описанной окружности для них. Расчет может быть не идеальным, тогда требуется подогнать размер описанной окружности до более оптимального и перерасположить провода.</t>
        </r>
      </text>
    </comment>
    <comment ref="G4" authorId="0" shapeId="0" xr:uid="{EF6B4983-6D00-48E5-813B-E6C8ACDC1EEB}">
      <text>
        <r>
          <rPr>
            <sz val="9"/>
            <color indexed="81"/>
            <rFont val="Tahoma"/>
            <family val="2"/>
            <charset val="204"/>
          </rPr>
          <t>Подбор размера  гофры, исходя из необходимого итогового диаметра</t>
        </r>
      </text>
    </comment>
    <comment ref="F6" authorId="0" shapeId="0" xr:uid="{B68F39E1-8058-4210-9E60-99A0F79B9284}">
      <text>
        <r>
          <rPr>
            <sz val="9"/>
            <color indexed="81"/>
            <rFont val="Tahoma"/>
            <family val="2"/>
            <charset val="204"/>
          </rPr>
          <t>Считается автоматически, не всегда удачно, поэтому при необходимости подправить красную окружность и провода вручную.</t>
        </r>
        <r>
          <rPr>
            <b/>
            <sz val="9"/>
            <color indexed="81"/>
            <rFont val="Tahoma"/>
            <family val="2"/>
            <charset val="204"/>
          </rPr>
          <t xml:space="preserve">   </t>
        </r>
        <r>
          <rPr>
            <sz val="9"/>
            <color indexed="81"/>
            <rFont val="Tahoma"/>
            <family val="2"/>
            <charset val="204"/>
          </rPr>
          <t xml:space="preserve">
После окончания корректировки зайти в "Размер и свойства" и выставить в ячейке G7 размер в сантиметрах и установить F10 на параметр "Да", новый диаметр автоматически расчитается в миллиметрах.
Если результат устраивает, то выставляем значение корректировки в ячейке F10 на "Нет"</t>
        </r>
      </text>
    </comment>
    <comment ref="G6" authorId="0" shapeId="0" xr:uid="{37C665AD-AC3D-4919-BDA7-24C8521D4F8C}">
      <text>
        <r>
          <rPr>
            <sz val="9"/>
            <color indexed="81"/>
            <rFont val="Tahoma"/>
            <family val="2"/>
            <charset val="204"/>
          </rPr>
          <t>Высота или ширина (должны быть одинаковые) в свойствах красной окружности.</t>
        </r>
      </text>
    </comment>
    <comment ref="H6" authorId="0" shapeId="0" xr:uid="{B576A0F5-543E-484F-9ECC-FE958364E43F}">
      <text>
        <r>
          <rPr>
            <sz val="9"/>
            <color indexed="81"/>
            <rFont val="Tahoma"/>
            <family val="2"/>
            <charset val="204"/>
          </rPr>
          <t>Итоговое значение минимального внутреннего диаметра гофры</t>
        </r>
      </text>
    </comment>
    <comment ref="F9" authorId="0" shapeId="0" xr:uid="{0DB8779B-1D41-4B5A-A10D-5C059D266BA8}">
      <text>
        <r>
          <rPr>
            <sz val="9"/>
            <color indexed="81"/>
            <rFont val="Tahoma"/>
            <family val="2"/>
            <charset val="204"/>
          </rPr>
          <t>Была ли корректировка?</t>
        </r>
      </text>
    </comment>
    <comment ref="G9" authorId="0" shapeId="0" xr:uid="{9A27A4C2-B491-4153-84ED-8E9CA10B8385}">
      <text>
        <r>
          <rPr>
            <sz val="9"/>
            <color indexed="81"/>
            <rFont val="Tahoma"/>
            <family val="2"/>
            <charset val="204"/>
          </rPr>
          <t>При "Да" выбор гофры проходит по полному, доступному ряду. При "Нет" только по избранным вариантам. Размеры обоих рядов приведены на листе "Вспомогательные данные" ячейки Q,R  и T,U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A1" authorId="0" shapeId="0" xr:uid="{D78DE644-C8ED-4A49-9A4B-E03CF6743526}">
      <text>
        <r>
          <rPr>
            <sz val="9"/>
            <color indexed="81"/>
            <rFont val="Tahoma"/>
            <family val="2"/>
            <charset val="204"/>
          </rPr>
          <t>1. Ввести количество жгутов для расчета. 
2. Дать им уникальные названия с столбце "C", если необходимо, в противном случае жгуты просто будут названы по порядку.
3. Нажать "Перечень". 
4. Заполнить "Начало", "Конец" и "Количество узлов". Это соответственно первый, последний разъемы и количество ответвлений (участков) жгута</t>
        </r>
      </text>
    </comment>
    <comment ref="C1" authorId="0" shapeId="0" xr:uid="{0C82A887-94E1-4101-A3F5-FB5136EDBF0C}">
      <text>
        <r>
          <rPr>
            <sz val="9"/>
            <color indexed="81"/>
            <rFont val="Tahoma"/>
            <family val="2"/>
            <charset val="204"/>
          </rPr>
          <t>Либо заполнить уникальными номерами, либо оставить пустыми для назначения дефолтных имен</t>
        </r>
      </text>
    </comment>
    <comment ref="F1" authorId="0" shapeId="0" xr:uid="{84761C55-AFA1-471E-8870-B0451222B281}">
      <text>
        <r>
          <rPr>
            <sz val="9"/>
            <color indexed="81"/>
            <rFont val="Tahoma"/>
            <family val="2"/>
            <charset val="204"/>
          </rPr>
          <t xml:space="preserve">1. Создание линейной структуры жгута на основе данных введеных ранее.
2. </t>
        </r>
        <r>
          <rPr>
            <b/>
            <sz val="9"/>
            <color indexed="81"/>
            <rFont val="Tahoma"/>
            <family val="2"/>
            <charset val="204"/>
          </rPr>
          <t xml:space="preserve">ВНИМАНИЕ! </t>
        </r>
        <r>
          <rPr>
            <sz val="9"/>
            <color indexed="81"/>
            <rFont val="Tahoma"/>
            <family val="2"/>
            <charset val="204"/>
          </rPr>
          <t>Т.к. структура создается с нуля все заполненные данные и доп. узлы сотрутся! Рекомендуется скопировать заполненную структуру перед построением на новый лист.
3. Пример заполненной структуры показан на рисунке справа (ячейка AA1 по дефолту).
4. Длина указвается в любых единицах (метры, мм, дюймы) на расчет это влияет, только цифровое значение.</t>
        </r>
      </text>
    </comment>
    <comment ref="J1" authorId="0" shapeId="0" xr:uid="{90DCE431-FC76-45DB-99B8-B29B707C02AC}">
      <text>
        <r>
          <rPr>
            <sz val="9"/>
            <color indexed="81"/>
            <rFont val="Tahoma"/>
            <family val="2"/>
            <charset val="204"/>
          </rPr>
          <t xml:space="preserve">Сначала заполняем колонки A, B, C на листе "Экспорт". Все имена файлов должны совпадать с теми, что используются на листе "Расчет жгута". После заполнения таблицы нажимаем на кнопку. Все расстояния расчитаются автоматически и запишутся в колонку D, при изменении размеров или структуры жгута достаточно снова нажать кнопку.
</t>
        </r>
        <r>
          <rPr>
            <b/>
            <sz val="9"/>
            <color indexed="81"/>
            <rFont val="Tahoma"/>
            <family val="2"/>
            <charset val="204"/>
          </rPr>
          <t>Важно!</t>
        </r>
        <r>
          <rPr>
            <sz val="9"/>
            <color indexed="81"/>
            <rFont val="Tahoma"/>
            <family val="2"/>
            <charset val="204"/>
          </rPr>
          <t xml:space="preserve"> Если вы решили создать новую или доплнить старую структурру жгутов, то сначала удалите все вспомогательные данные с сответсвующего листа. Он начинаются с диапазона C20:D40 и D50.</t>
        </r>
      </text>
    </comment>
    <comment ref="AA1" authorId="0" shapeId="0" xr:uid="{E5D43DC9-44E8-4111-9E09-1EDE4048D8DB}">
      <text>
        <r>
          <rPr>
            <sz val="9"/>
            <color indexed="81"/>
            <rFont val="Tahoma"/>
            <family val="2"/>
            <charset val="204"/>
          </rPr>
          <t>На рисунке представлена готовая структура с 5 узлами. В данном случае узлы математические представление для графа функции жгута. Физически и на чертеже это мемент ответвления от основой или вспомогательной линии. 
Ребра графа это участки жгута, со своим весом, физически и на чертеже это длина участка.
Алгоритм на основе структуры составляет граф функции жгута, а после находит путь от одного именованного узла до другого (от одного разъема до другого) и возращает сумму пройденных ребер и узлов (вес 0), что является длиной требуемого кабеля.
Алгоритм поиска базируется на рекурсивном методе.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A1" authorId="0" shapeId="0" xr:uid="{88942C70-094E-4C67-8E34-8AB6A9798413}">
      <text>
        <r>
          <rPr>
            <sz val="9"/>
            <color indexed="81"/>
            <rFont val="Tahoma"/>
            <family val="2"/>
            <charset val="204"/>
          </rPr>
          <t>Пишем как и на листе "Расчет жгута"</t>
        </r>
      </text>
    </comment>
    <comment ref="B1" authorId="0" shapeId="0" xr:uid="{0F39C248-5268-42C5-A3D6-2AF062228B25}">
      <text>
        <r>
          <rPr>
            <sz val="9"/>
            <color indexed="81"/>
            <rFont val="Tahoma"/>
            <family val="2"/>
            <charset val="204"/>
          </rPr>
          <t>Пишем как и на листе "Расчет жгута"</t>
        </r>
      </text>
    </comment>
    <comment ref="C1" authorId="0" shapeId="0" xr:uid="{CEFE69D7-6958-4688-8103-8B47E63C258C}">
      <text>
        <r>
          <rPr>
            <sz val="9"/>
            <color indexed="81"/>
            <rFont val="Tahoma"/>
            <family val="2"/>
            <charset val="204"/>
          </rPr>
          <t xml:space="preserve">Пишем как и на листе "Расчет жгута"
</t>
        </r>
      </text>
    </comment>
    <comment ref="D1" authorId="0" shapeId="0" xr:uid="{8C952B3F-92F2-498E-9132-30CA55EAF3C2}">
      <text>
        <r>
          <rPr>
            <sz val="9"/>
            <color indexed="81"/>
            <rFont val="Tahoma"/>
            <family val="2"/>
            <charset val="204"/>
          </rPr>
          <t xml:space="preserve">Расчитается автоматически после нажатия кнопки "Расчет расстояний" на листе "Расчет жгута"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Лисов Андрей Анатольевич</author>
  </authors>
  <commentList>
    <comment ref="C1" authorId="0" shapeId="0" xr:uid="{F4C5C158-C591-4601-9395-74C54399A7D7}">
      <text>
        <r>
          <rPr>
            <sz val="9"/>
            <color indexed="81"/>
            <rFont val="Tahoma"/>
            <family val="2"/>
            <charset val="204"/>
          </rPr>
          <t xml:space="preserve">1. Здесь находятся все справочные и вспомогательные данные для работы всех скриптов, их при необходимости можно редактировать. В большинстве случаев расширение номенклатуры вниз по таблице не окажет влияния на код, но в некоторых случаях, а также при перемещении таблиц в другие ячейки работа скриптов может быть нарушена. 
2. Для расширения вспомогательных таблиц нужно уходить либо вправо, либо вручную проверять и исправлять зависимости в коде макросов.
3. Переименовывание листов также приведет к поломке скриптов, если все же хочется этим заняться, то либо использовать индекс листа при ссылке, либо исправить старое на новое название в тексте скриптов.
</t>
        </r>
      </text>
    </comment>
  </commentList>
</comments>
</file>

<file path=xl/sharedStrings.xml><?xml version="1.0" encoding="utf-8"?>
<sst xmlns="http://schemas.openxmlformats.org/spreadsheetml/2006/main" count="262" uniqueCount="98">
  <si>
    <t>Длина провода, м</t>
  </si>
  <si>
    <t>Ток потребления, А</t>
  </si>
  <si>
    <t>Удельное сопротивление</t>
  </si>
  <si>
    <t>Медь</t>
  </si>
  <si>
    <t>Сталь</t>
  </si>
  <si>
    <t>Ом·мм²/м</t>
  </si>
  <si>
    <t>Сечение, мм²</t>
  </si>
  <si>
    <t>Аллюминий</t>
  </si>
  <si>
    <t> 0,028</t>
  </si>
  <si>
    <t>Температурный коэ-т</t>
  </si>
  <si>
    <t>Материал провода</t>
  </si>
  <si>
    <t>Рабочая температура, С</t>
  </si>
  <si>
    <t>Исходные данные</t>
  </si>
  <si>
    <t>Перерасчет AWG в мм²</t>
  </si>
  <si>
    <t>мм²</t>
  </si>
  <si>
    <t>AWG</t>
  </si>
  <si>
    <t>Ближайшее стандартное мм²</t>
  </si>
  <si>
    <t>По ПУЭ</t>
  </si>
  <si>
    <t>Номинальные токи в зависимости от сечения</t>
  </si>
  <si>
    <t>Ток, А</t>
  </si>
  <si>
    <r>
      <t>С</t>
    </r>
    <r>
      <rPr>
        <sz val="12"/>
        <color theme="1"/>
        <rFont val="Calibri"/>
        <family val="2"/>
        <charset val="204"/>
      </rPr>
      <t>‾₁</t>
    </r>
  </si>
  <si>
    <t>Марка по ЧувашКабель</t>
  </si>
  <si>
    <t>Сечение по ЧувашКабель</t>
  </si>
  <si>
    <t>Марки ЧувашКабель</t>
  </si>
  <si>
    <t>ПВАМ, ПМАМТ, ПВАМЭ, ПВАМЭВ, ПВАМВ</t>
  </si>
  <si>
    <t>ПВАМДЭ</t>
  </si>
  <si>
    <t>ПВАМЭВ, ПВАМВ</t>
  </si>
  <si>
    <t>Расчеты</t>
  </si>
  <si>
    <t>Напряжение сети, В</t>
  </si>
  <si>
    <t>Допустимые потери в линии, %</t>
  </si>
  <si>
    <t>Допустимое отклонение, %</t>
  </si>
  <si>
    <t>Стандартный ряд AWG</t>
  </si>
  <si>
    <t>Величина падения напряжения, В</t>
  </si>
  <si>
    <t>Сопротивление кабеля максмальное, Ом (раб. температура)</t>
  </si>
  <si>
    <t>Расчетное сечение, мм²</t>
  </si>
  <si>
    <t>Сечение кабеля по ПУЭ, мм²</t>
  </si>
  <si>
    <t>Провод</t>
  </si>
  <si>
    <t>Длина, м</t>
  </si>
  <si>
    <t>Расчет для серии проводов</t>
  </si>
  <si>
    <t>Сечение</t>
  </si>
  <si>
    <t>Марка провода по ЧувашКабель</t>
  </si>
  <si>
    <t>Внешний диаметр, мм</t>
  </si>
  <si>
    <t>Скоректированное сечение, мм²</t>
  </si>
  <si>
    <t>ПВАМ, ПВАМТ</t>
  </si>
  <si>
    <t>ПВАМЭ</t>
  </si>
  <si>
    <t>ПВАМЭВ</t>
  </si>
  <si>
    <t>Макс. Наружный диаметр 1 провода, мм</t>
  </si>
  <si>
    <t>Перерасчет мм² в AWG</t>
  </si>
  <si>
    <t>Красный трегольник - подсказка</t>
  </si>
  <si>
    <t>Нет данных</t>
  </si>
  <si>
    <t>Суммарное сечение, мм²</t>
  </si>
  <si>
    <t>Диаметр описанной окружности, мм</t>
  </si>
  <si>
    <t>Скорректированный, см</t>
  </si>
  <si>
    <t>Итоговый, мм</t>
  </si>
  <si>
    <t>Коэ-т коррекции</t>
  </si>
  <si>
    <t>Dвнут гофры</t>
  </si>
  <si>
    <t>Dвнеш гофры</t>
  </si>
  <si>
    <t>Корректировка (Да/Нет)</t>
  </si>
  <si>
    <t>Да</t>
  </si>
  <si>
    <t>Нет</t>
  </si>
  <si>
    <t>Полный ряд</t>
  </si>
  <si>
    <t>Предпочтительный ряд</t>
  </si>
  <si>
    <t>Полный ряд (Да/Нет)</t>
  </si>
  <si>
    <t>Количество жгутов</t>
  </si>
  <si>
    <t>Номер жгута</t>
  </si>
  <si>
    <t>Жгут 1</t>
  </si>
  <si>
    <t>Жгут 2</t>
  </si>
  <si>
    <t>Начало</t>
  </si>
  <si>
    <t>Конец</t>
  </si>
  <si>
    <t>Количество узлов</t>
  </si>
  <si>
    <t>Жгут 12</t>
  </si>
  <si>
    <t>XS3</t>
  </si>
  <si>
    <t>XS2</t>
  </si>
  <si>
    <t>XP3</t>
  </si>
  <si>
    <t>XS6</t>
  </si>
  <si>
    <t>Жгут 7</t>
  </si>
  <si>
    <t>XS36</t>
  </si>
  <si>
    <t>H13</t>
  </si>
  <si>
    <t>Откуда</t>
  </si>
  <si>
    <t>Куда</t>
  </si>
  <si>
    <t>XS1</t>
  </si>
  <si>
    <t>XS5</t>
  </si>
  <si>
    <t>XS7</t>
  </si>
  <si>
    <t>XP5</t>
  </si>
  <si>
    <t>XS9</t>
  </si>
  <si>
    <t>XS4</t>
  </si>
  <si>
    <t>XS8</t>
  </si>
  <si>
    <t>XP1</t>
  </si>
  <si>
    <t>XS11</t>
  </si>
  <si>
    <t>Длина</t>
  </si>
  <si>
    <t>XS62</t>
  </si>
  <si>
    <t>XP25</t>
  </si>
  <si>
    <t>XP52</t>
  </si>
  <si>
    <t>Расчет площади сечения в мм²</t>
  </si>
  <si>
    <t>R = мм</t>
  </si>
  <si>
    <t>D = мм</t>
  </si>
  <si>
    <t>S1 = мм²</t>
  </si>
  <si>
    <t>S2 = мм²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</si>
</sst>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12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2"/>
      <color rgb="FFFFFFFF"/>
      <name val="Times New Roman"/>
      <family val="1"/>
      <charset val="204"/>
    </font>
    <font>
      <sz val="11"/>
      <color rgb="FFFFFFFF"/>
      <name val="Calibri"/>
      <family val="2"/>
      <scheme val="minor"/>
    </font>
    <font>
      <b/>
      <sz val="12"/>
      <color rgb="FFFFFFFF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1" fillId="0" borderId="2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1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Fill="1" applyBorder="1"/>
    <xf numFmtId="0" fontId="18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0" xfId="0" applyFont="1" applyFill="1"/>
    <xf numFmtId="0" fontId="19" fillId="0" borderId="0" xfId="0" applyFont="1" applyFill="1" applyBorder="1"/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9" fillId="0" borderId="9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6</xdr:row>
          <xdr:rowOff>19050</xdr:rowOff>
        </xdr:from>
        <xdr:to>
          <xdr:col>4</xdr:col>
          <xdr:colOff>1581150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в AWG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8</xdr:row>
          <xdr:rowOff>9525</xdr:rowOff>
        </xdr:from>
        <xdr:to>
          <xdr:col>1</xdr:col>
          <xdr:colOff>1762125</xdr:colOff>
          <xdr:row>8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сечения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18</xdr:row>
          <xdr:rowOff>381000</xdr:rowOff>
        </xdr:from>
        <xdr:to>
          <xdr:col>3</xdr:col>
          <xdr:colOff>647700</xdr:colOff>
          <xdr:row>20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Выбрать кабель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5</xdr:row>
          <xdr:rowOff>180975</xdr:rowOff>
        </xdr:from>
        <xdr:to>
          <xdr:col>7</xdr:col>
          <xdr:colOff>1628775</xdr:colOff>
          <xdr:row>7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в мм²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21</xdr:row>
          <xdr:rowOff>190500</xdr:rowOff>
        </xdr:from>
        <xdr:to>
          <xdr:col>3</xdr:col>
          <xdr:colOff>1885950</xdr:colOff>
          <xdr:row>23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для серии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742950</xdr:colOff>
          <xdr:row>2</xdr:row>
          <xdr:rowOff>171450</xdr:rowOff>
        </xdr:from>
        <xdr:to>
          <xdr:col>5</xdr:col>
          <xdr:colOff>2057400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</xdr:row>
          <xdr:rowOff>171450</xdr:rowOff>
        </xdr:from>
        <xdr:to>
          <xdr:col>6</xdr:col>
          <xdr:colOff>1685925</xdr:colOff>
          <xdr:row>4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гофры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555625</xdr:colOff>
      <xdr:row>17</xdr:row>
      <xdr:rowOff>3175</xdr:rowOff>
    </xdr:from>
    <xdr:to>
      <xdr:col>6</xdr:col>
      <xdr:colOff>911225</xdr:colOff>
      <xdr:row>18</xdr:row>
      <xdr:rowOff>158750</xdr:rowOff>
    </xdr:to>
    <xdr:sp macro="" textlink="">
      <xdr:nvSpPr>
        <xdr:cNvPr id="18" name="Wire_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12522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911225</xdr:colOff>
      <xdr:row>17</xdr:row>
      <xdr:rowOff>3175</xdr:rowOff>
    </xdr:from>
    <xdr:to>
      <xdr:col>6</xdr:col>
      <xdr:colOff>1266825</xdr:colOff>
      <xdr:row>18</xdr:row>
      <xdr:rowOff>158750</xdr:rowOff>
    </xdr:to>
    <xdr:sp macro="" textlink="">
      <xdr:nvSpPr>
        <xdr:cNvPr id="19" name="Wire_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16078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733425</xdr:colOff>
      <xdr:row>18</xdr:row>
      <xdr:rowOff>111109</xdr:rowOff>
    </xdr:from>
    <xdr:to>
      <xdr:col>6</xdr:col>
      <xdr:colOff>1089025</xdr:colOff>
      <xdr:row>20</xdr:row>
      <xdr:rowOff>66659</xdr:rowOff>
    </xdr:to>
    <xdr:sp macro="" textlink="">
      <xdr:nvSpPr>
        <xdr:cNvPr id="20" name="Wire_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1430000" y="3940159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377825</xdr:colOff>
      <xdr:row>18</xdr:row>
      <xdr:rowOff>111109</xdr:rowOff>
    </xdr:from>
    <xdr:to>
      <xdr:col>6</xdr:col>
      <xdr:colOff>733425</xdr:colOff>
      <xdr:row>20</xdr:row>
      <xdr:rowOff>66659</xdr:rowOff>
    </xdr:to>
    <xdr:sp macro="" textlink="">
      <xdr:nvSpPr>
        <xdr:cNvPr id="21" name="Wire_4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1074400" y="3940159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200025</xdr:colOff>
      <xdr:row>17</xdr:row>
      <xdr:rowOff>3175</xdr:rowOff>
    </xdr:from>
    <xdr:to>
      <xdr:col>6</xdr:col>
      <xdr:colOff>555625</xdr:colOff>
      <xdr:row>18</xdr:row>
      <xdr:rowOff>158750</xdr:rowOff>
    </xdr:to>
    <xdr:sp macro="" textlink="">
      <xdr:nvSpPr>
        <xdr:cNvPr id="22" name="Wire_5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0896600" y="3632200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377825</xdr:colOff>
      <xdr:row>15</xdr:row>
      <xdr:rowOff>95266</xdr:rowOff>
    </xdr:from>
    <xdr:to>
      <xdr:col>6</xdr:col>
      <xdr:colOff>733425</xdr:colOff>
      <xdr:row>17</xdr:row>
      <xdr:rowOff>50816</xdr:rowOff>
    </xdr:to>
    <xdr:sp macro="" textlink="">
      <xdr:nvSpPr>
        <xdr:cNvPr id="23" name="Wire_6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1074400" y="3324241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733425</xdr:colOff>
      <xdr:row>15</xdr:row>
      <xdr:rowOff>95266</xdr:rowOff>
    </xdr:from>
    <xdr:to>
      <xdr:col>6</xdr:col>
      <xdr:colOff>1089025</xdr:colOff>
      <xdr:row>17</xdr:row>
      <xdr:rowOff>50816</xdr:rowOff>
    </xdr:to>
    <xdr:sp macro="" textlink="">
      <xdr:nvSpPr>
        <xdr:cNvPr id="24" name="Wire_7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430000" y="3324241"/>
          <a:ext cx="355600" cy="355600"/>
        </a:xfrm>
        <a:prstGeom prst="ellipse">
          <a:avLst/>
        </a:prstGeom>
        <a:solidFill>
          <a:srgbClr val="C8C8FF"/>
        </a:solidFill>
        <a:ln w="19050">
          <a:solidFill>
            <a:srgbClr val="000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800"/>
            <a:t>1,40</a:t>
          </a:r>
        </a:p>
      </xdr:txBody>
    </xdr:sp>
    <xdr:clientData/>
  </xdr:twoCellAnchor>
  <xdr:twoCellAnchor>
    <xdr:from>
      <xdr:col>6</xdr:col>
      <xdr:colOff>173355</xdr:colOff>
      <xdr:row>15</xdr:row>
      <xdr:rowOff>20955</xdr:rowOff>
    </xdr:from>
    <xdr:to>
      <xdr:col>6</xdr:col>
      <xdr:colOff>1293495</xdr:colOff>
      <xdr:row>20</xdr:row>
      <xdr:rowOff>140970</xdr:rowOff>
    </xdr:to>
    <xdr:sp macro="" textlink="">
      <xdr:nvSpPr>
        <xdr:cNvPr id="25" name="CircumscribedCircle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0869930" y="3249930"/>
          <a:ext cx="1120140" cy="112014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38100</xdr:rowOff>
        </xdr:from>
        <xdr:to>
          <xdr:col>0</xdr:col>
          <xdr:colOff>1133475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Перечень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28575</xdr:rowOff>
        </xdr:from>
        <xdr:to>
          <xdr:col>5</xdr:col>
          <xdr:colOff>57150</xdr:colOff>
          <xdr:row>1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Создать структуру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0</xdr:row>
          <xdr:rowOff>19050</xdr:rowOff>
        </xdr:from>
        <xdr:to>
          <xdr:col>9</xdr:col>
          <xdr:colOff>238125</xdr:colOff>
          <xdr:row>1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расстояний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190500</xdr:colOff>
      <xdr:row>1</xdr:row>
      <xdr:rowOff>104775</xdr:rowOff>
    </xdr:from>
    <xdr:to>
      <xdr:col>40</xdr:col>
      <xdr:colOff>458280</xdr:colOff>
      <xdr:row>14</xdr:row>
      <xdr:rowOff>19404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97400" y="304800"/>
          <a:ext cx="7735380" cy="2534004"/>
        </a:xfrm>
        <a:prstGeom prst="rect">
          <a:avLst/>
        </a:prstGeom>
        <a:ln w="19050">
          <a:solidFill>
            <a:srgbClr val="FF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65"/>
  <sheetViews>
    <sheetView tabSelected="1" workbookViewId="0">
      <selection activeCell="E22" sqref="E22"/>
    </sheetView>
  </sheetViews>
  <sheetFormatPr defaultRowHeight="15.75" x14ac:dyDescent="0.25"/>
  <cols>
    <col min="1" max="1" width="45.5703125" style="1" customWidth="1"/>
    <col min="2" max="2" width="30.140625" style="1" customWidth="1"/>
    <col min="3" max="3" width="22.42578125" style="1" customWidth="1"/>
    <col min="4" max="4" width="32.7109375" style="1" customWidth="1"/>
    <col min="5" max="5" width="25.140625" style="1" customWidth="1"/>
    <col min="6" max="6" width="28" style="1" customWidth="1"/>
    <col min="7" max="7" width="32.28515625" style="1" customWidth="1"/>
    <col min="8" max="8" width="26.28515625" style="1" customWidth="1"/>
    <col min="9" max="16384" width="9.140625" style="1"/>
  </cols>
  <sheetData>
    <row r="1" spans="1:8" x14ac:dyDescent="0.25">
      <c r="A1" s="68" t="s">
        <v>12</v>
      </c>
      <c r="B1" s="69"/>
      <c r="C1" s="4"/>
      <c r="D1" s="70" t="s">
        <v>13</v>
      </c>
      <c r="E1" s="70"/>
      <c r="F1" s="5"/>
      <c r="G1" s="70" t="s">
        <v>47</v>
      </c>
      <c r="H1" s="70"/>
    </row>
    <row r="2" spans="1:8" x14ac:dyDescent="0.25">
      <c r="A2" s="9" t="s">
        <v>10</v>
      </c>
      <c r="B2" s="2" t="s">
        <v>3</v>
      </c>
      <c r="D2" s="9" t="s">
        <v>15</v>
      </c>
      <c r="E2" s="2">
        <v>24</v>
      </c>
      <c r="G2" s="9" t="s">
        <v>14</v>
      </c>
      <c r="H2" s="2">
        <v>6</v>
      </c>
    </row>
    <row r="3" spans="1:8" x14ac:dyDescent="0.25">
      <c r="A3" s="9" t="s">
        <v>0</v>
      </c>
      <c r="B3" s="2">
        <v>10</v>
      </c>
      <c r="D3" s="9" t="s">
        <v>14</v>
      </c>
      <c r="E3" s="14">
        <v>0.20473536709796322</v>
      </c>
      <c r="G3" s="9" t="s">
        <v>15</v>
      </c>
      <c r="H3" s="14">
        <v>9.4334119046083291</v>
      </c>
    </row>
    <row r="4" spans="1:8" x14ac:dyDescent="0.25">
      <c r="A4" s="9" t="s">
        <v>1</v>
      </c>
      <c r="B4" s="2">
        <v>1</v>
      </c>
      <c r="D4" s="9" t="s">
        <v>30</v>
      </c>
      <c r="E4" s="14">
        <v>0.05</v>
      </c>
      <c r="F4" s="3"/>
      <c r="G4" s="9" t="s">
        <v>30</v>
      </c>
      <c r="H4" s="14">
        <v>0.05</v>
      </c>
    </row>
    <row r="5" spans="1:8" x14ac:dyDescent="0.25">
      <c r="A5" s="10" t="s">
        <v>11</v>
      </c>
      <c r="B5" s="2">
        <v>50</v>
      </c>
      <c r="D5" s="9" t="s">
        <v>16</v>
      </c>
      <c r="E5" s="2">
        <v>0.35</v>
      </c>
      <c r="G5" s="9" t="s">
        <v>16</v>
      </c>
      <c r="H5" s="2">
        <v>10</v>
      </c>
    </row>
    <row r="6" spans="1:8" x14ac:dyDescent="0.25">
      <c r="A6" s="9" t="s">
        <v>28</v>
      </c>
      <c r="B6" s="2">
        <v>24</v>
      </c>
    </row>
    <row r="7" spans="1:8" x14ac:dyDescent="0.25">
      <c r="A7" s="10" t="s">
        <v>29</v>
      </c>
      <c r="B7" s="2">
        <v>0.05</v>
      </c>
    </row>
    <row r="9" spans="1:8" ht="31.5" x14ac:dyDescent="0.25">
      <c r="C9" s="23" t="s">
        <v>48</v>
      </c>
    </row>
    <row r="10" spans="1:8" x14ac:dyDescent="0.25">
      <c r="E10" s="70" t="s">
        <v>93</v>
      </c>
      <c r="F10" s="70"/>
    </row>
    <row r="11" spans="1:8" x14ac:dyDescent="0.25">
      <c r="E11" s="9" t="s">
        <v>94</v>
      </c>
      <c r="F11" s="16">
        <v>0</v>
      </c>
    </row>
    <row r="12" spans="1:8" x14ac:dyDescent="0.25">
      <c r="A12" s="70" t="s">
        <v>27</v>
      </c>
      <c r="B12" s="70"/>
      <c r="E12" s="9" t="s">
        <v>95</v>
      </c>
      <c r="F12" s="16">
        <v>0.5</v>
      </c>
    </row>
    <row r="13" spans="1:8" ht="36.75" customHeight="1" x14ac:dyDescent="0.25">
      <c r="A13" s="10" t="s">
        <v>33</v>
      </c>
      <c r="B13" s="14">
        <v>1.2000000000000002</v>
      </c>
      <c r="E13" s="76" t="s">
        <v>96</v>
      </c>
      <c r="F13" s="77">
        <f>F11*F11*3.141593</f>
        <v>0</v>
      </c>
    </row>
    <row r="14" spans="1:8" ht="36" customHeight="1" x14ac:dyDescent="0.25">
      <c r="A14" s="10" t="s">
        <v>33</v>
      </c>
      <c r="B14" s="14">
        <v>1.0734412738169785</v>
      </c>
      <c r="E14" s="76" t="s">
        <v>97</v>
      </c>
      <c r="F14" s="77">
        <f>F12*F12*3.141593/4</f>
        <v>0.19634956249999999</v>
      </c>
    </row>
    <row r="15" spans="1:8" x14ac:dyDescent="0.25">
      <c r="A15" s="9" t="s">
        <v>34</v>
      </c>
      <c r="B15" s="14">
        <v>0.15930074999999996</v>
      </c>
    </row>
    <row r="16" spans="1:8" x14ac:dyDescent="0.25">
      <c r="A16" s="9" t="s">
        <v>35</v>
      </c>
      <c r="B16" s="16">
        <v>0.35</v>
      </c>
    </row>
    <row r="17" spans="1:6" x14ac:dyDescent="0.25">
      <c r="A17" s="10" t="s">
        <v>32</v>
      </c>
      <c r="B17" s="14">
        <v>0.4885714285714286</v>
      </c>
      <c r="C17" s="16" t="str">
        <f>B17/24*100 &amp;" %"</f>
        <v>2,03571428571429 %</v>
      </c>
      <c r="D17" s="5"/>
    </row>
    <row r="18" spans="1:6" x14ac:dyDescent="0.25">
      <c r="B18" s="17"/>
    </row>
    <row r="19" spans="1:6" x14ac:dyDescent="0.25">
      <c r="A19" s="10" t="s">
        <v>21</v>
      </c>
      <c r="B19" s="6" t="s">
        <v>25</v>
      </c>
    </row>
    <row r="20" spans="1:6" x14ac:dyDescent="0.25">
      <c r="A20" s="10" t="s">
        <v>22</v>
      </c>
      <c r="B20" s="2">
        <v>0.5</v>
      </c>
    </row>
    <row r="23" spans="1:6" x14ac:dyDescent="0.25"/>
    <row r="24" spans="1:6" x14ac:dyDescent="0.25">
      <c r="A24" s="71" t="s">
        <v>38</v>
      </c>
      <c r="B24" s="72"/>
      <c r="C24" s="72"/>
      <c r="D24" s="72"/>
    </row>
    <row r="25" spans="1:6" x14ac:dyDescent="0.25">
      <c r="A25" s="9" t="s">
        <v>36</v>
      </c>
      <c r="B25" s="9" t="s">
        <v>37</v>
      </c>
      <c r="C25" s="9" t="s">
        <v>19</v>
      </c>
      <c r="D25" s="9" t="s">
        <v>6</v>
      </c>
      <c r="E25" s="5"/>
      <c r="F25" s="5"/>
    </row>
    <row r="26" spans="1:6" x14ac:dyDescent="0.25">
      <c r="A26" s="2">
        <v>1</v>
      </c>
      <c r="B26" s="2">
        <v>1</v>
      </c>
      <c r="C26" s="18">
        <v>0.2</v>
      </c>
      <c r="D26" s="16">
        <v>0.35</v>
      </c>
      <c r="E26" s="5"/>
      <c r="F26" s="5"/>
    </row>
    <row r="27" spans="1:6" x14ac:dyDescent="0.25">
      <c r="A27" s="2">
        <v>2</v>
      </c>
      <c r="B27" s="2">
        <v>0.1</v>
      </c>
      <c r="C27" s="18">
        <v>0.1</v>
      </c>
      <c r="D27" s="16">
        <v>0.35</v>
      </c>
      <c r="E27" s="5"/>
      <c r="F27" s="5"/>
    </row>
    <row r="28" spans="1:6" x14ac:dyDescent="0.25">
      <c r="A28" s="2">
        <v>3</v>
      </c>
      <c r="B28" s="2">
        <v>1</v>
      </c>
      <c r="C28" s="18">
        <v>0.5</v>
      </c>
      <c r="D28" s="16">
        <v>0.35</v>
      </c>
      <c r="E28" s="5"/>
      <c r="F28" s="5"/>
    </row>
    <row r="29" spans="1:6" x14ac:dyDescent="0.25">
      <c r="A29" s="2">
        <v>4</v>
      </c>
      <c r="B29" s="2">
        <v>1</v>
      </c>
      <c r="C29" s="18">
        <v>1</v>
      </c>
      <c r="D29" s="16">
        <v>0.35</v>
      </c>
      <c r="E29" s="5"/>
      <c r="F29" s="5"/>
    </row>
    <row r="30" spans="1:6" x14ac:dyDescent="0.25">
      <c r="A30" s="2">
        <v>5</v>
      </c>
      <c r="B30" s="18">
        <v>1</v>
      </c>
      <c r="C30" s="18">
        <v>1</v>
      </c>
      <c r="D30" s="16">
        <v>0.35</v>
      </c>
      <c r="E30" s="5"/>
      <c r="F30" s="5"/>
    </row>
    <row r="31" spans="1:6" x14ac:dyDescent="0.25">
      <c r="A31" s="2">
        <v>6</v>
      </c>
      <c r="B31" s="18">
        <v>1</v>
      </c>
      <c r="C31" s="18">
        <v>1</v>
      </c>
      <c r="D31" s="16">
        <v>0.35</v>
      </c>
      <c r="E31" s="5"/>
      <c r="F31" s="5"/>
    </row>
    <row r="32" spans="1:6" x14ac:dyDescent="0.25">
      <c r="A32" s="2">
        <v>7</v>
      </c>
      <c r="B32" s="18">
        <v>1</v>
      </c>
      <c r="C32" s="18">
        <v>1</v>
      </c>
      <c r="D32" s="16">
        <v>0.35</v>
      </c>
      <c r="E32" s="5"/>
      <c r="F32" s="5"/>
    </row>
    <row r="33" spans="1:6" x14ac:dyDescent="0.25">
      <c r="A33" s="2">
        <v>8</v>
      </c>
      <c r="B33" s="18"/>
      <c r="C33" s="18"/>
      <c r="D33" s="16"/>
      <c r="E33" s="5"/>
      <c r="F33" s="5"/>
    </row>
    <row r="34" spans="1:6" x14ac:dyDescent="0.25">
      <c r="A34" s="2">
        <v>9</v>
      </c>
      <c r="B34" s="18"/>
      <c r="C34" s="18"/>
      <c r="D34" s="16"/>
      <c r="E34" s="5"/>
      <c r="F34" s="5"/>
    </row>
    <row r="35" spans="1:6" x14ac:dyDescent="0.25">
      <c r="A35" s="2">
        <v>10</v>
      </c>
      <c r="B35" s="18"/>
      <c r="C35" s="18"/>
      <c r="D35" s="16"/>
      <c r="E35" s="5"/>
      <c r="F35" s="5"/>
    </row>
    <row r="36" spans="1:6" x14ac:dyDescent="0.25">
      <c r="A36" s="2">
        <v>11</v>
      </c>
      <c r="B36" s="18"/>
      <c r="C36" s="18"/>
      <c r="D36" s="16"/>
      <c r="E36" s="5"/>
      <c r="F36" s="5"/>
    </row>
    <row r="37" spans="1:6" x14ac:dyDescent="0.25">
      <c r="A37" s="2">
        <v>12</v>
      </c>
      <c r="B37" s="18"/>
      <c r="C37" s="18"/>
      <c r="D37" s="16"/>
      <c r="E37" s="5"/>
      <c r="F37" s="5"/>
    </row>
    <row r="38" spans="1:6" x14ac:dyDescent="0.25">
      <c r="A38" s="2">
        <v>13</v>
      </c>
      <c r="B38" s="18"/>
      <c r="C38" s="18"/>
      <c r="D38" s="16"/>
      <c r="E38" s="5"/>
      <c r="F38" s="5"/>
    </row>
    <row r="39" spans="1:6" x14ac:dyDescent="0.25">
      <c r="A39" s="2">
        <v>14</v>
      </c>
      <c r="B39" s="18"/>
      <c r="C39" s="18"/>
      <c r="D39" s="16"/>
      <c r="E39" s="5"/>
      <c r="F39" s="5"/>
    </row>
    <row r="40" spans="1:6" x14ac:dyDescent="0.25">
      <c r="A40" s="2">
        <v>15</v>
      </c>
      <c r="B40" s="18"/>
      <c r="C40" s="18"/>
      <c r="D40" s="16"/>
      <c r="E40" s="5"/>
      <c r="F40" s="5"/>
    </row>
    <row r="41" spans="1:6" x14ac:dyDescent="0.25">
      <c r="A41" s="2">
        <v>16</v>
      </c>
      <c r="B41" s="18"/>
      <c r="C41" s="18"/>
      <c r="D41" s="16"/>
      <c r="E41" s="5"/>
      <c r="F41" s="5"/>
    </row>
    <row r="42" spans="1:6" x14ac:dyDescent="0.25">
      <c r="A42" s="2">
        <v>17</v>
      </c>
      <c r="B42" s="18"/>
      <c r="C42" s="18"/>
      <c r="D42" s="16"/>
      <c r="E42" s="5"/>
      <c r="F42" s="5"/>
    </row>
    <row r="43" spans="1:6" x14ac:dyDescent="0.25">
      <c r="A43" s="2">
        <v>18</v>
      </c>
      <c r="B43" s="18"/>
      <c r="C43" s="18"/>
      <c r="D43" s="16"/>
      <c r="E43" s="5"/>
      <c r="F43" s="5"/>
    </row>
    <row r="44" spans="1:6" x14ac:dyDescent="0.25">
      <c r="A44" s="2">
        <v>19</v>
      </c>
      <c r="B44" s="18"/>
      <c r="C44" s="18"/>
      <c r="D44" s="16"/>
      <c r="E44" s="5"/>
      <c r="F44" s="5"/>
    </row>
    <row r="45" spans="1:6" x14ac:dyDescent="0.25">
      <c r="A45" s="2">
        <v>20</v>
      </c>
      <c r="B45" s="18"/>
      <c r="C45" s="18"/>
      <c r="D45" s="16"/>
      <c r="E45" s="5"/>
      <c r="F45" s="5"/>
    </row>
    <row r="46" spans="1:6" x14ac:dyDescent="0.25">
      <c r="A46" s="2">
        <v>21</v>
      </c>
      <c r="B46" s="18"/>
      <c r="C46" s="18"/>
      <c r="D46" s="16"/>
      <c r="E46" s="5"/>
      <c r="F46" s="5"/>
    </row>
    <row r="47" spans="1:6" x14ac:dyDescent="0.25">
      <c r="A47" s="2">
        <v>22</v>
      </c>
      <c r="B47" s="18"/>
      <c r="C47" s="18"/>
      <c r="D47" s="16"/>
      <c r="E47" s="5"/>
      <c r="F47" s="5"/>
    </row>
    <row r="48" spans="1:6" x14ac:dyDescent="0.25">
      <c r="A48" s="2">
        <v>23</v>
      </c>
      <c r="B48" s="18"/>
      <c r="C48" s="18"/>
      <c r="D48" s="16"/>
      <c r="E48" s="5"/>
      <c r="F48" s="5"/>
    </row>
    <row r="49" spans="1:6" x14ac:dyDescent="0.25">
      <c r="A49" s="2">
        <v>24</v>
      </c>
      <c r="B49" s="18"/>
      <c r="C49" s="18"/>
      <c r="D49" s="16"/>
      <c r="E49" s="5"/>
      <c r="F49" s="5"/>
    </row>
    <row r="50" spans="1:6" x14ac:dyDescent="0.25">
      <c r="A50" s="2">
        <v>25</v>
      </c>
      <c r="B50" s="18"/>
      <c r="C50" s="18"/>
      <c r="D50" s="16"/>
      <c r="E50" s="5"/>
      <c r="F50" s="5"/>
    </row>
    <row r="51" spans="1:6" x14ac:dyDescent="0.25">
      <c r="A51" s="2">
        <v>26</v>
      </c>
      <c r="B51" s="18"/>
      <c r="C51" s="18"/>
      <c r="D51" s="16"/>
      <c r="E51" s="5"/>
      <c r="F51" s="5"/>
    </row>
    <row r="52" spans="1:6" x14ac:dyDescent="0.25">
      <c r="A52" s="2">
        <v>27</v>
      </c>
      <c r="B52" s="18"/>
      <c r="C52" s="18"/>
      <c r="D52" s="16"/>
      <c r="E52" s="5"/>
      <c r="F52" s="5"/>
    </row>
    <row r="53" spans="1:6" x14ac:dyDescent="0.25">
      <c r="A53" s="2">
        <v>28</v>
      </c>
      <c r="B53" s="18"/>
      <c r="C53" s="18"/>
      <c r="D53" s="16"/>
      <c r="E53" s="5"/>
      <c r="F53" s="5"/>
    </row>
    <row r="54" spans="1:6" x14ac:dyDescent="0.25">
      <c r="A54" s="2">
        <v>29</v>
      </c>
      <c r="B54" s="18"/>
      <c r="C54" s="18"/>
      <c r="D54" s="16"/>
      <c r="E54" s="5"/>
      <c r="F54" s="5"/>
    </row>
    <row r="55" spans="1:6" x14ac:dyDescent="0.25">
      <c r="A55" s="2">
        <v>30</v>
      </c>
      <c r="B55" s="18"/>
      <c r="C55" s="18"/>
      <c r="D55" s="16"/>
      <c r="E55" s="5"/>
      <c r="F55" s="5"/>
    </row>
    <row r="56" spans="1:6" x14ac:dyDescent="0.25">
      <c r="A56" s="2">
        <v>31</v>
      </c>
      <c r="B56" s="18"/>
      <c r="C56" s="18"/>
      <c r="D56" s="16"/>
      <c r="E56" s="5"/>
      <c r="F56" s="5"/>
    </row>
    <row r="57" spans="1:6" x14ac:dyDescent="0.25">
      <c r="A57" s="2">
        <v>32</v>
      </c>
      <c r="B57" s="18"/>
      <c r="C57" s="18"/>
      <c r="D57" s="16"/>
      <c r="E57" s="5"/>
      <c r="F57" s="5"/>
    </row>
    <row r="58" spans="1:6" x14ac:dyDescent="0.25">
      <c r="A58" s="2">
        <v>33</v>
      </c>
      <c r="B58" s="18"/>
      <c r="C58" s="18"/>
      <c r="D58" s="16"/>
      <c r="E58" s="5"/>
      <c r="F58" s="5"/>
    </row>
    <row r="59" spans="1:6" x14ac:dyDescent="0.25">
      <c r="A59" s="2">
        <v>34</v>
      </c>
      <c r="B59" s="18"/>
      <c r="C59" s="18"/>
      <c r="D59" s="16"/>
      <c r="E59" s="5"/>
      <c r="F59" s="5"/>
    </row>
    <row r="60" spans="1:6" x14ac:dyDescent="0.25">
      <c r="A60" s="2">
        <v>35</v>
      </c>
      <c r="B60" s="18"/>
      <c r="C60" s="18"/>
      <c r="D60" s="16"/>
      <c r="E60" s="5"/>
      <c r="F60" s="5"/>
    </row>
    <row r="61" spans="1:6" x14ac:dyDescent="0.25">
      <c r="A61" s="2">
        <v>36</v>
      </c>
      <c r="B61" s="18"/>
      <c r="C61" s="18"/>
      <c r="D61" s="16"/>
      <c r="E61" s="5"/>
      <c r="F61" s="5"/>
    </row>
    <row r="62" spans="1:6" x14ac:dyDescent="0.25">
      <c r="A62" s="2">
        <v>37</v>
      </c>
      <c r="B62" s="18"/>
      <c r="C62" s="18"/>
      <c r="D62" s="16"/>
      <c r="E62" s="5"/>
      <c r="F62" s="5"/>
    </row>
    <row r="63" spans="1:6" x14ac:dyDescent="0.25">
      <c r="A63" s="2">
        <v>38</v>
      </c>
      <c r="B63" s="18"/>
      <c r="C63" s="18"/>
      <c r="D63" s="16"/>
      <c r="E63" s="5"/>
      <c r="F63" s="5"/>
    </row>
    <row r="64" spans="1:6" x14ac:dyDescent="0.25">
      <c r="A64" s="2">
        <v>39</v>
      </c>
      <c r="B64" s="18"/>
      <c r="C64" s="18"/>
      <c r="D64" s="16"/>
      <c r="E64" s="5"/>
      <c r="F64" s="5"/>
    </row>
    <row r="65" spans="1:6" x14ac:dyDescent="0.25">
      <c r="A65" s="2">
        <v>40</v>
      </c>
      <c r="B65" s="18"/>
      <c r="C65" s="18"/>
      <c r="D65" s="16"/>
      <c r="E65" s="5"/>
      <c r="F65" s="5"/>
    </row>
  </sheetData>
  <mergeCells count="6">
    <mergeCell ref="A1:B1"/>
    <mergeCell ref="A12:B12"/>
    <mergeCell ref="D1:E1"/>
    <mergeCell ref="G1:H1"/>
    <mergeCell ref="A24:D24"/>
    <mergeCell ref="E10:F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alculateAWGtoSquareMM">
                <anchor moveWithCells="1" sizeWithCells="1">
                  <from>
                    <xdr:col>4</xdr:col>
                    <xdr:colOff>95250</xdr:colOff>
                    <xdr:row>6</xdr:row>
                    <xdr:rowOff>19050</xdr:rowOff>
                  </from>
                  <to>
                    <xdr:col>4</xdr:col>
                    <xdr:colOff>1581150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alculateMaxResistance">
                <anchor moveWithCells="1" sizeWithCells="1">
                  <from>
                    <xdr:col>1</xdr:col>
                    <xdr:colOff>104775</xdr:colOff>
                    <xdr:row>8</xdr:row>
                    <xdr:rowOff>9525</xdr:rowOff>
                  </from>
                  <to>
                    <xdr:col>1</xdr:col>
                    <xdr:colOff>1762125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electCableSectionByType">
                <anchor moveWithCells="1" sizeWithCells="1">
                  <from>
                    <xdr:col>2</xdr:col>
                    <xdr:colOff>123825</xdr:colOff>
                    <xdr:row>18</xdr:row>
                    <xdr:rowOff>381000</xdr:rowOff>
                  </from>
                  <to>
                    <xdr:col>3</xdr:col>
                    <xdr:colOff>647700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CalculateSquareMMtoAWG">
                <anchor moveWithCells="1" sizeWithCells="1">
                  <from>
                    <xdr:col>7</xdr:col>
                    <xdr:colOff>28575</xdr:colOff>
                    <xdr:row>5</xdr:row>
                    <xdr:rowOff>180975</xdr:rowOff>
                  </from>
                  <to>
                    <xdr:col>7</xdr:col>
                    <xdr:colOff>1628775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CalculateMultipleResistancesWithPUEandTemp">
                <anchor moveWithCells="1" sizeWithCells="1">
                  <from>
                    <xdr:col>3</xdr:col>
                    <xdr:colOff>238125</xdr:colOff>
                    <xdr:row>21</xdr:row>
                    <xdr:rowOff>190500</xdr:rowOff>
                  </from>
                  <to>
                    <xdr:col>3</xdr:col>
                    <xdr:colOff>1885950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725681D-AF7A-463A-893D-966B5E91704D}">
          <x14:formula1>
            <xm:f>'Вспомогательные данные'!$A$2:$A$4</xm:f>
          </x14:formula1>
          <xm:sqref>B2</xm:sqref>
        </x14:dataValidation>
        <x14:dataValidation type="list" allowBlank="1" showInputMessage="1" showErrorMessage="1" xr:uid="{0550A67B-46CF-4391-8F33-286C732A1E29}">
          <x14:formula1>
            <xm:f>'Вспомогательные данные'!$I$9:$I$11</xm:f>
          </x14:formula1>
          <xm:sqref>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37BC2-1917-44D6-A2B1-6F0C6CB82D95}">
  <sheetPr codeName="Лист4"/>
  <dimension ref="A1:J32"/>
  <sheetViews>
    <sheetView zoomScaleNormal="100" workbookViewId="0">
      <selection activeCell="F20" sqref="F20"/>
    </sheetView>
  </sheetViews>
  <sheetFormatPr defaultRowHeight="15" x14ac:dyDescent="0.25"/>
  <cols>
    <col min="1" max="1" width="10.140625" customWidth="1"/>
    <col min="2" max="2" width="15.7109375" customWidth="1"/>
    <col min="3" max="3" width="48.140625" customWidth="1"/>
    <col min="4" max="4" width="25.42578125" customWidth="1"/>
    <col min="5" max="5" width="21.7109375" customWidth="1"/>
    <col min="6" max="6" width="39.28515625" customWidth="1"/>
    <col min="7" max="7" width="27.140625" customWidth="1"/>
    <col min="8" max="8" width="16.42578125" customWidth="1"/>
    <col min="9" max="9" width="17.85546875" customWidth="1"/>
    <col min="10" max="10" width="16.7109375" customWidth="1"/>
  </cols>
  <sheetData>
    <row r="1" spans="1:10" ht="33.75" customHeight="1" x14ac:dyDescent="0.25">
      <c r="A1" s="28" t="s">
        <v>36</v>
      </c>
      <c r="B1" s="28" t="s">
        <v>6</v>
      </c>
      <c r="C1" s="28" t="s">
        <v>40</v>
      </c>
      <c r="D1" s="21" t="s">
        <v>41</v>
      </c>
      <c r="E1" s="22" t="s">
        <v>42</v>
      </c>
      <c r="F1" s="21" t="s">
        <v>50</v>
      </c>
      <c r="I1" s="22" t="s">
        <v>54</v>
      </c>
    </row>
    <row r="2" spans="1:10" ht="15.75" x14ac:dyDescent="0.25">
      <c r="A2" s="18">
        <v>1</v>
      </c>
      <c r="B2" s="20">
        <f>Расчет!D26</f>
        <v>0.35</v>
      </c>
      <c r="C2" s="18" t="s">
        <v>43</v>
      </c>
      <c r="D2" s="25">
        <v>1.4</v>
      </c>
      <c r="E2" s="14">
        <v>1.5393804002589984</v>
      </c>
      <c r="F2" s="14">
        <v>10.77566280181299</v>
      </c>
      <c r="I2" s="14">
        <v>1.4178299999999999</v>
      </c>
    </row>
    <row r="3" spans="1:10" ht="15.75" x14ac:dyDescent="0.25">
      <c r="A3" s="18">
        <v>2</v>
      </c>
      <c r="B3" s="20">
        <f>Расчет!D27</f>
        <v>0.35</v>
      </c>
      <c r="C3" s="18" t="s">
        <v>43</v>
      </c>
      <c r="D3" s="25">
        <v>1.4</v>
      </c>
      <c r="E3" s="14">
        <v>1.5393804002589984</v>
      </c>
      <c r="F3" s="27"/>
    </row>
    <row r="4" spans="1:10" ht="15.75" x14ac:dyDescent="0.25">
      <c r="A4" s="18">
        <v>3</v>
      </c>
      <c r="B4" s="20">
        <f>Расчет!D28</f>
        <v>0.35</v>
      </c>
      <c r="C4" s="18" t="s">
        <v>43</v>
      </c>
      <c r="D4" s="25">
        <v>1.4</v>
      </c>
      <c r="E4" s="14">
        <v>1.5393804002589984</v>
      </c>
    </row>
    <row r="5" spans="1:10" ht="15.75" x14ac:dyDescent="0.25">
      <c r="A5" s="18">
        <v>4</v>
      </c>
      <c r="B5" s="20">
        <f>Расчет!D29</f>
        <v>0.35</v>
      </c>
      <c r="C5" s="18" t="s">
        <v>43</v>
      </c>
      <c r="D5" s="25">
        <v>1.4</v>
      </c>
      <c r="E5" s="14">
        <v>1.5393804002589984</v>
      </c>
    </row>
    <row r="6" spans="1:10" ht="15.75" x14ac:dyDescent="0.25">
      <c r="A6" s="18">
        <v>5</v>
      </c>
      <c r="B6" s="20">
        <f>Расчет!D30</f>
        <v>0.35</v>
      </c>
      <c r="C6" s="18" t="s">
        <v>43</v>
      </c>
      <c r="D6" s="25">
        <v>1.4</v>
      </c>
      <c r="E6" s="14">
        <v>1.5393804002589984</v>
      </c>
      <c r="F6" s="24" t="s">
        <v>51</v>
      </c>
      <c r="G6" s="26" t="s">
        <v>52</v>
      </c>
      <c r="H6" s="26" t="s">
        <v>53</v>
      </c>
      <c r="I6" s="26" t="s">
        <v>55</v>
      </c>
      <c r="J6" s="26" t="s">
        <v>56</v>
      </c>
    </row>
    <row r="7" spans="1:10" ht="15.75" x14ac:dyDescent="0.25">
      <c r="A7" s="18">
        <v>6</v>
      </c>
      <c r="B7" s="20">
        <f>Расчет!D31</f>
        <v>0.35</v>
      </c>
      <c r="C7" s="18" t="s">
        <v>43</v>
      </c>
      <c r="D7" s="25">
        <v>1.4</v>
      </c>
      <c r="E7" s="14">
        <v>1.5393804002589984</v>
      </c>
      <c r="F7" s="16">
        <v>4.4100000000000028</v>
      </c>
      <c r="G7" s="16">
        <v>5.58</v>
      </c>
      <c r="H7" s="16">
        <f>IF(F10="Да",G7*$I$2,F7)</f>
        <v>4.4100000000000028</v>
      </c>
      <c r="I7" s="16">
        <v>6</v>
      </c>
      <c r="J7" s="16">
        <v>9</v>
      </c>
    </row>
    <row r="8" spans="1:10" ht="15.75" x14ac:dyDescent="0.25">
      <c r="A8" s="18">
        <v>7</v>
      </c>
      <c r="B8" s="20">
        <f>Расчет!D32</f>
        <v>0.35</v>
      </c>
      <c r="C8" s="18" t="s">
        <v>43</v>
      </c>
      <c r="D8" s="25">
        <v>1.4</v>
      </c>
      <c r="E8" s="14">
        <v>1.5393804002589984</v>
      </c>
    </row>
    <row r="9" spans="1:10" ht="15.75" x14ac:dyDescent="0.25">
      <c r="A9" s="18">
        <v>8</v>
      </c>
      <c r="B9" s="20">
        <f>Расчет!D33</f>
        <v>0</v>
      </c>
      <c r="C9" s="18" t="s">
        <v>43</v>
      </c>
      <c r="D9" s="25" t="s">
        <v>49</v>
      </c>
      <c r="E9" s="14" t="s">
        <v>49</v>
      </c>
      <c r="F9" s="30" t="s">
        <v>57</v>
      </c>
      <c r="G9" s="30" t="s">
        <v>62</v>
      </c>
    </row>
    <row r="10" spans="1:10" ht="15.75" x14ac:dyDescent="0.25">
      <c r="A10" s="18">
        <v>9</v>
      </c>
      <c r="B10" s="20">
        <f>Расчет!D34</f>
        <v>0</v>
      </c>
      <c r="C10" s="18" t="s">
        <v>43</v>
      </c>
      <c r="D10" s="25" t="s">
        <v>49</v>
      </c>
      <c r="E10" s="14" t="s">
        <v>49</v>
      </c>
      <c r="F10" s="16" t="s">
        <v>59</v>
      </c>
      <c r="G10" s="16" t="s">
        <v>59</v>
      </c>
    </row>
    <row r="11" spans="1:10" ht="15.75" x14ac:dyDescent="0.25">
      <c r="A11" s="18">
        <v>10</v>
      </c>
      <c r="B11" s="20">
        <f>Расчет!D35</f>
        <v>0</v>
      </c>
      <c r="C11" s="18" t="s">
        <v>43</v>
      </c>
      <c r="D11" s="25" t="s">
        <v>49</v>
      </c>
      <c r="E11" s="14" t="s">
        <v>49</v>
      </c>
    </row>
    <row r="12" spans="1:10" ht="15.75" x14ac:dyDescent="0.25">
      <c r="A12" s="18">
        <v>11</v>
      </c>
      <c r="B12" s="20">
        <f>Расчет!D36</f>
        <v>0</v>
      </c>
      <c r="C12" s="18" t="s">
        <v>43</v>
      </c>
      <c r="D12" s="25" t="s">
        <v>49</v>
      </c>
      <c r="E12" s="14" t="s">
        <v>49</v>
      </c>
    </row>
    <row r="13" spans="1:10" ht="15.75" x14ac:dyDescent="0.25">
      <c r="A13" s="18">
        <v>12</v>
      </c>
      <c r="B13" s="20">
        <f>Расчет!D37</f>
        <v>0</v>
      </c>
      <c r="C13" s="18" t="s">
        <v>43</v>
      </c>
      <c r="D13" s="25" t="s">
        <v>49</v>
      </c>
      <c r="E13" s="14" t="s">
        <v>49</v>
      </c>
    </row>
    <row r="14" spans="1:10" ht="15.75" x14ac:dyDescent="0.25">
      <c r="A14" s="18">
        <v>13</v>
      </c>
      <c r="B14" s="20">
        <f>Расчет!D38</f>
        <v>0</v>
      </c>
      <c r="C14" s="18" t="s">
        <v>43</v>
      </c>
      <c r="D14" s="25" t="s">
        <v>49</v>
      </c>
      <c r="E14" s="14" t="s">
        <v>49</v>
      </c>
    </row>
    <row r="15" spans="1:10" ht="15.75" x14ac:dyDescent="0.25">
      <c r="A15" s="18">
        <v>14</v>
      </c>
      <c r="B15" s="20">
        <f>Расчет!D39</f>
        <v>0</v>
      </c>
      <c r="C15" s="18" t="s">
        <v>43</v>
      </c>
      <c r="D15" s="25" t="s">
        <v>49</v>
      </c>
      <c r="E15" s="14" t="s">
        <v>49</v>
      </c>
    </row>
    <row r="16" spans="1:10" ht="15.75" x14ac:dyDescent="0.25">
      <c r="A16" s="18">
        <v>15</v>
      </c>
      <c r="B16" s="20">
        <f>Расчет!D40</f>
        <v>0</v>
      </c>
      <c r="C16" s="18" t="s">
        <v>43</v>
      </c>
      <c r="D16" s="25" t="s">
        <v>49</v>
      </c>
      <c r="E16" s="14" t="s">
        <v>49</v>
      </c>
    </row>
    <row r="17" spans="1:5" ht="15.75" x14ac:dyDescent="0.25">
      <c r="A17" s="18">
        <v>16</v>
      </c>
      <c r="B17" s="20">
        <f>Расчет!D41</f>
        <v>0</v>
      </c>
      <c r="C17" s="18" t="s">
        <v>43</v>
      </c>
      <c r="D17" s="25" t="s">
        <v>49</v>
      </c>
      <c r="E17" s="14" t="s">
        <v>49</v>
      </c>
    </row>
    <row r="18" spans="1:5" ht="15.75" x14ac:dyDescent="0.25">
      <c r="A18" s="18">
        <v>17</v>
      </c>
      <c r="B18" s="20">
        <f>Расчет!D42</f>
        <v>0</v>
      </c>
      <c r="C18" s="18" t="s">
        <v>43</v>
      </c>
      <c r="D18" s="25" t="s">
        <v>49</v>
      </c>
      <c r="E18" s="14" t="s">
        <v>49</v>
      </c>
    </row>
    <row r="19" spans="1:5" ht="15.75" x14ac:dyDescent="0.25">
      <c r="A19" s="18">
        <v>18</v>
      </c>
      <c r="B19" s="20">
        <f>Расчет!D43</f>
        <v>0</v>
      </c>
      <c r="C19" s="18" t="s">
        <v>43</v>
      </c>
      <c r="D19" s="25" t="s">
        <v>49</v>
      </c>
      <c r="E19" s="14" t="s">
        <v>49</v>
      </c>
    </row>
    <row r="20" spans="1:5" ht="15.75" x14ac:dyDescent="0.25">
      <c r="A20" s="18">
        <v>19</v>
      </c>
      <c r="B20" s="20">
        <f>Расчет!D44</f>
        <v>0</v>
      </c>
      <c r="C20" s="18" t="s">
        <v>43</v>
      </c>
      <c r="D20" s="25" t="s">
        <v>49</v>
      </c>
      <c r="E20" s="14" t="s">
        <v>49</v>
      </c>
    </row>
    <row r="21" spans="1:5" ht="15.75" x14ac:dyDescent="0.25">
      <c r="A21" s="18">
        <v>20</v>
      </c>
      <c r="B21" s="20">
        <f>Расчет!D45</f>
        <v>0</v>
      </c>
      <c r="C21" s="18" t="s">
        <v>43</v>
      </c>
      <c r="D21" s="25" t="s">
        <v>49</v>
      </c>
      <c r="E21" s="14" t="s">
        <v>49</v>
      </c>
    </row>
    <row r="22" spans="1:5" ht="15.75" x14ac:dyDescent="0.25">
      <c r="A22" s="18">
        <v>21</v>
      </c>
      <c r="B22" s="20">
        <f>Расчет!D46</f>
        <v>0</v>
      </c>
      <c r="C22" s="18" t="s">
        <v>43</v>
      </c>
      <c r="D22" s="25" t="s">
        <v>49</v>
      </c>
      <c r="E22" s="14" t="s">
        <v>49</v>
      </c>
    </row>
    <row r="23" spans="1:5" ht="15.75" x14ac:dyDescent="0.25">
      <c r="A23" s="18">
        <v>22</v>
      </c>
      <c r="B23" s="20">
        <f>Расчет!D47</f>
        <v>0</v>
      </c>
      <c r="C23" s="18" t="s">
        <v>43</v>
      </c>
      <c r="D23" s="25" t="s">
        <v>49</v>
      </c>
      <c r="E23" s="14" t="s">
        <v>49</v>
      </c>
    </row>
    <row r="24" spans="1:5" ht="15.75" x14ac:dyDescent="0.25">
      <c r="A24" s="18">
        <v>23</v>
      </c>
      <c r="B24" s="20">
        <f>Расчет!D48</f>
        <v>0</v>
      </c>
      <c r="C24" s="18" t="s">
        <v>43</v>
      </c>
      <c r="D24" s="25" t="s">
        <v>49</v>
      </c>
      <c r="E24" s="14" t="s">
        <v>49</v>
      </c>
    </row>
    <row r="25" spans="1:5" ht="15.75" x14ac:dyDescent="0.25">
      <c r="A25" s="18">
        <v>24</v>
      </c>
      <c r="B25" s="20">
        <f>Расчет!D49</f>
        <v>0</v>
      </c>
      <c r="C25" s="18" t="s">
        <v>43</v>
      </c>
      <c r="D25" s="25" t="s">
        <v>49</v>
      </c>
      <c r="E25" s="14" t="s">
        <v>49</v>
      </c>
    </row>
    <row r="26" spans="1:5" ht="15.75" x14ac:dyDescent="0.25">
      <c r="A26" s="18">
        <v>25</v>
      </c>
      <c r="B26" s="20">
        <f>Расчет!D50</f>
        <v>0</v>
      </c>
      <c r="C26" s="18" t="s">
        <v>43</v>
      </c>
      <c r="D26" s="25" t="s">
        <v>49</v>
      </c>
      <c r="E26" s="14" t="s">
        <v>49</v>
      </c>
    </row>
    <row r="27" spans="1:5" ht="15.75" x14ac:dyDescent="0.25">
      <c r="A27" s="18">
        <v>26</v>
      </c>
      <c r="B27" s="20">
        <f>Расчет!D51</f>
        <v>0</v>
      </c>
      <c r="C27" s="18" t="s">
        <v>43</v>
      </c>
      <c r="D27" s="25" t="s">
        <v>49</v>
      </c>
      <c r="E27" s="14" t="s">
        <v>49</v>
      </c>
    </row>
    <row r="28" spans="1:5" ht="15.75" x14ac:dyDescent="0.25">
      <c r="A28" s="18">
        <v>27</v>
      </c>
      <c r="B28" s="20">
        <f>Расчет!D52</f>
        <v>0</v>
      </c>
      <c r="C28" s="18" t="s">
        <v>43</v>
      </c>
      <c r="D28" s="25" t="s">
        <v>49</v>
      </c>
      <c r="E28" s="14" t="s">
        <v>49</v>
      </c>
    </row>
    <row r="29" spans="1:5" ht="15.75" x14ac:dyDescent="0.25">
      <c r="A29" s="18">
        <v>28</v>
      </c>
      <c r="B29" s="20">
        <f>Расчет!D53</f>
        <v>0</v>
      </c>
      <c r="C29" s="18" t="s">
        <v>43</v>
      </c>
      <c r="D29" s="25" t="s">
        <v>49</v>
      </c>
      <c r="E29" s="14" t="s">
        <v>49</v>
      </c>
    </row>
    <row r="30" spans="1:5" ht="15.75" x14ac:dyDescent="0.25">
      <c r="A30" s="18">
        <v>29</v>
      </c>
      <c r="B30" s="20">
        <f>Расчет!D54</f>
        <v>0</v>
      </c>
      <c r="C30" s="18" t="s">
        <v>43</v>
      </c>
      <c r="D30" s="25" t="s">
        <v>49</v>
      </c>
      <c r="E30" s="14" t="s">
        <v>49</v>
      </c>
    </row>
    <row r="31" spans="1:5" ht="15.75" x14ac:dyDescent="0.25">
      <c r="A31" s="18">
        <v>30</v>
      </c>
      <c r="B31" s="20">
        <f>Расчет!D55</f>
        <v>0</v>
      </c>
      <c r="C31" s="18" t="s">
        <v>43</v>
      </c>
      <c r="D31" s="25" t="s">
        <v>49</v>
      </c>
      <c r="E31" s="14" t="s">
        <v>49</v>
      </c>
    </row>
    <row r="32" spans="1:5" ht="15.75" x14ac:dyDescent="0.25">
      <c r="A32" s="18">
        <v>31</v>
      </c>
      <c r="B32" s="20">
        <f>Расчет!D56</f>
        <v>0</v>
      </c>
      <c r="C32" s="18" t="s">
        <v>43</v>
      </c>
      <c r="D32" s="25" t="s">
        <v>49</v>
      </c>
      <c r="E32" s="14" t="s">
        <v>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eWireParametersWithVisualization">
                <anchor moveWithCells="1" sizeWithCells="1">
                  <from>
                    <xdr:col>5</xdr:col>
                    <xdr:colOff>742950</xdr:colOff>
                    <xdr:row>2</xdr:row>
                    <xdr:rowOff>171450</xdr:rowOff>
                  </from>
                  <to>
                    <xdr:col>5</xdr:col>
                    <xdr:colOff>2057400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FindOptimalGofraDiameter">
                <anchor moveWithCells="1" sizeWithCells="1">
                  <from>
                    <xdr:col>6</xdr:col>
                    <xdr:colOff>152400</xdr:colOff>
                    <xdr:row>2</xdr:row>
                    <xdr:rowOff>171450</xdr:rowOff>
                  </from>
                  <to>
                    <xdr:col>6</xdr:col>
                    <xdr:colOff>1685925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FECE89-EA16-40D4-9045-2E40920FF3F2}">
          <x14:formula1>
            <xm:f>'Вспомогательные данные'!$L$8:$N$8</xm:f>
          </x14:formula1>
          <xm:sqref>C2:C32</xm:sqref>
        </x14:dataValidation>
        <x14:dataValidation type="list" allowBlank="1" showInputMessage="1" showErrorMessage="1" xr:uid="{5664AA7E-2C1D-49C3-98AE-7EDC5AABB7B6}">
          <x14:formula1>
            <xm:f>'Вспомогательные данные'!$G$1:$G$2</xm:f>
          </x14:formula1>
          <xm:sqref>F10:G10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F3D65-773F-4707-8CD5-15A49D4FCE6E}">
  <sheetPr codeName="Лист3"/>
  <dimension ref="A1:AJ1000"/>
  <sheetViews>
    <sheetView zoomScaleNormal="100" workbookViewId="0">
      <selection activeCell="M17" sqref="M17"/>
    </sheetView>
  </sheetViews>
  <sheetFormatPr defaultRowHeight="15" x14ac:dyDescent="0.25"/>
  <cols>
    <col min="1" max="1" width="21.85546875" bestFit="1" customWidth="1"/>
    <col min="2" max="2" width="10.7109375" customWidth="1"/>
    <col min="3" max="4" width="15.7109375" customWidth="1"/>
    <col min="5" max="24" width="8.7109375" customWidth="1"/>
    <col min="27" max="27" width="6.7109375" bestFit="1" customWidth="1"/>
    <col min="29" max="29" width="7.5703125" bestFit="1" customWidth="1"/>
    <col min="30" max="30" width="6.7109375" bestFit="1" customWidth="1"/>
    <col min="31" max="31" width="2" bestFit="1" customWidth="1"/>
    <col min="32" max="32" width="6.7109375" bestFit="1" customWidth="1"/>
  </cols>
  <sheetData>
    <row r="1" spans="1:36" ht="15.75" x14ac:dyDescent="0.25">
      <c r="A1" s="29" t="s">
        <v>63</v>
      </c>
      <c r="B1" s="1"/>
      <c r="C1" s="29" t="s">
        <v>64</v>
      </c>
      <c r="D1" s="1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38"/>
      <c r="Z1" s="38"/>
      <c r="AA1" s="38"/>
    </row>
    <row r="2" spans="1:36" ht="15.75" x14ac:dyDescent="0.25">
      <c r="A2" s="1">
        <v>3</v>
      </c>
      <c r="B2" s="1"/>
      <c r="C2" s="18" t="s">
        <v>70</v>
      </c>
      <c r="D2" s="1"/>
      <c r="E2" s="41"/>
      <c r="F2" s="37"/>
      <c r="G2" s="37"/>
      <c r="H2" s="37"/>
      <c r="I2" s="37"/>
      <c r="J2" s="3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52"/>
      <c r="Z2" s="52"/>
      <c r="AA2" s="49"/>
      <c r="AB2" s="48"/>
      <c r="AC2" s="43"/>
      <c r="AD2" s="39"/>
      <c r="AE2" s="39"/>
      <c r="AF2" s="39"/>
      <c r="AG2" s="39"/>
      <c r="AH2" s="39"/>
      <c r="AI2" s="39"/>
      <c r="AJ2" s="39"/>
    </row>
    <row r="3" spans="1:36" s="36" customFormat="1" ht="15.75" x14ac:dyDescent="0.25">
      <c r="A3" s="1"/>
      <c r="B3" s="1"/>
      <c r="C3" s="18" t="s">
        <v>75</v>
      </c>
      <c r="D3" s="1"/>
      <c r="E3" s="37"/>
      <c r="F3" s="37"/>
      <c r="G3" s="40"/>
      <c r="H3" s="37"/>
      <c r="I3" s="40"/>
      <c r="J3" s="3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52"/>
      <c r="Z3" s="52"/>
      <c r="AA3" s="50"/>
      <c r="AB3" s="48"/>
      <c r="AC3" s="44"/>
      <c r="AD3" s="42"/>
      <c r="AE3" s="44"/>
      <c r="AF3" s="42"/>
      <c r="AG3" s="39"/>
      <c r="AH3" s="39"/>
      <c r="AI3" s="39"/>
      <c r="AJ3" s="39"/>
    </row>
    <row r="4" spans="1:36" s="36" customFormat="1" ht="15.75" x14ac:dyDescent="0.25">
      <c r="A4" s="1"/>
      <c r="B4" s="1"/>
      <c r="C4" s="18" t="s">
        <v>65</v>
      </c>
      <c r="D4" s="53"/>
      <c r="E4" s="37"/>
      <c r="F4" s="37"/>
      <c r="G4" s="37"/>
      <c r="H4" s="37"/>
      <c r="I4" s="37"/>
      <c r="J4" s="3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52"/>
      <c r="Z4" s="52"/>
      <c r="AA4" s="48"/>
      <c r="AB4" s="48"/>
      <c r="AC4" s="39"/>
      <c r="AD4" s="39"/>
      <c r="AE4" s="39"/>
      <c r="AF4" s="39"/>
      <c r="AG4" s="39"/>
      <c r="AH4" s="39"/>
      <c r="AI4" s="39"/>
      <c r="AJ4" s="39"/>
    </row>
    <row r="5" spans="1:36" s="36" customFormat="1" ht="15.75" x14ac:dyDescent="0.25">
      <c r="A5" s="34" t="s">
        <v>70</v>
      </c>
      <c r="B5" s="1"/>
      <c r="C5" s="54"/>
      <c r="D5" s="1"/>
      <c r="E5" s="37"/>
      <c r="F5" s="37"/>
      <c r="G5" s="37"/>
      <c r="H5" s="37"/>
      <c r="I5" s="37"/>
      <c r="J5" s="3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52"/>
      <c r="Z5" s="52"/>
      <c r="AA5" s="48"/>
      <c r="AB5" s="48"/>
      <c r="AC5" s="39"/>
      <c r="AD5" s="39"/>
      <c r="AE5" s="39"/>
      <c r="AF5" s="39"/>
      <c r="AG5" s="39"/>
      <c r="AH5" s="39"/>
    </row>
    <row r="6" spans="1:36" s="36" customFormat="1" ht="15.75" x14ac:dyDescent="0.25">
      <c r="A6" s="5" t="s">
        <v>67</v>
      </c>
      <c r="B6" s="1" t="s">
        <v>76</v>
      </c>
      <c r="C6" s="54"/>
      <c r="D6" s="5"/>
      <c r="E6" s="37"/>
      <c r="F6" s="37"/>
      <c r="G6" s="37"/>
      <c r="H6" s="37"/>
      <c r="I6" s="37" t="s">
        <v>87</v>
      </c>
      <c r="J6" s="3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52"/>
      <c r="Z6" s="52"/>
      <c r="AA6" s="48"/>
      <c r="AB6" s="48"/>
      <c r="AC6" s="39"/>
      <c r="AD6" s="39"/>
      <c r="AE6" s="39"/>
      <c r="AF6" s="39"/>
      <c r="AG6" s="39"/>
      <c r="AH6" s="39"/>
    </row>
    <row r="7" spans="1:36" s="36" customFormat="1" ht="15.75" x14ac:dyDescent="0.25">
      <c r="A7" s="5" t="s">
        <v>68</v>
      </c>
      <c r="B7" s="1" t="s">
        <v>77</v>
      </c>
      <c r="C7" s="54"/>
      <c r="D7" s="58"/>
      <c r="E7" s="47"/>
      <c r="F7" s="47"/>
      <c r="G7" s="47"/>
      <c r="H7" s="47"/>
      <c r="I7" s="47">
        <v>100</v>
      </c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52"/>
      <c r="Z7" s="52"/>
      <c r="AA7" s="48"/>
      <c r="AB7" s="51"/>
    </row>
    <row r="8" spans="1:36" s="36" customFormat="1" ht="15.75" x14ac:dyDescent="0.25">
      <c r="A8" s="35" t="s">
        <v>69</v>
      </c>
      <c r="B8" s="1">
        <v>5</v>
      </c>
      <c r="C8" s="54"/>
      <c r="D8" s="58"/>
      <c r="E8" s="47"/>
      <c r="F8" s="47"/>
      <c r="G8" s="47" t="s">
        <v>80</v>
      </c>
      <c r="H8" s="47"/>
      <c r="I8" s="47" t="s">
        <v>82</v>
      </c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52"/>
      <c r="Z8" s="52"/>
      <c r="AA8" s="48"/>
      <c r="AB8" s="51"/>
    </row>
    <row r="9" spans="1:36" s="36" customFormat="1" ht="15.75" x14ac:dyDescent="0.25">
      <c r="A9" s="1"/>
      <c r="B9" s="1"/>
      <c r="C9" s="54"/>
      <c r="D9" s="58"/>
      <c r="E9" s="47" t="s">
        <v>81</v>
      </c>
      <c r="F9" s="47">
        <v>100</v>
      </c>
      <c r="G9" s="47">
        <v>100</v>
      </c>
      <c r="H9" s="47"/>
      <c r="I9" s="47">
        <v>100</v>
      </c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52"/>
      <c r="Z9" s="52"/>
      <c r="AA9" s="48"/>
      <c r="AB9" s="51"/>
    </row>
    <row r="10" spans="1:36" s="39" customFormat="1" ht="15.75" x14ac:dyDescent="0.25">
      <c r="A10" s="34" t="s">
        <v>66</v>
      </c>
      <c r="B10" s="1"/>
      <c r="C10" s="54"/>
      <c r="D10" s="59"/>
      <c r="E10" s="47"/>
      <c r="F10" s="47"/>
      <c r="G10" s="47" t="s">
        <v>88</v>
      </c>
      <c r="H10" s="47"/>
      <c r="I10" s="47" t="s">
        <v>86</v>
      </c>
      <c r="J10" s="47"/>
      <c r="K10" s="47"/>
      <c r="L10" s="47"/>
      <c r="M10" s="47" t="s">
        <v>85</v>
      </c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52"/>
      <c r="Z10" s="52"/>
      <c r="AA10" s="48"/>
      <c r="AB10" s="48"/>
    </row>
    <row r="11" spans="1:36" s="39" customFormat="1" ht="16.5" thickBot="1" x14ac:dyDescent="0.3">
      <c r="A11" s="5" t="s">
        <v>67</v>
      </c>
      <c r="B11" s="1" t="s">
        <v>90</v>
      </c>
      <c r="C11" s="1"/>
      <c r="D11" s="58"/>
      <c r="E11" s="47"/>
      <c r="F11" s="47"/>
      <c r="G11" s="47">
        <v>100</v>
      </c>
      <c r="H11" s="47"/>
      <c r="I11" s="47">
        <v>500</v>
      </c>
      <c r="J11" s="47"/>
      <c r="K11" s="47"/>
      <c r="L11" s="47"/>
      <c r="M11" s="47">
        <v>200</v>
      </c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52"/>
      <c r="Z11" s="52"/>
      <c r="AA11" s="48"/>
      <c r="AB11" s="48"/>
    </row>
    <row r="12" spans="1:36" s="39" customFormat="1" ht="16.5" thickBot="1" x14ac:dyDescent="0.3">
      <c r="A12" s="5" t="s">
        <v>68</v>
      </c>
      <c r="B12" s="1" t="s">
        <v>73</v>
      </c>
      <c r="C12" s="1"/>
      <c r="D12" s="60" t="s">
        <v>70</v>
      </c>
      <c r="E12" s="65" t="s">
        <v>76</v>
      </c>
      <c r="F12" s="66">
        <v>100</v>
      </c>
      <c r="G12" s="67">
        <v>0</v>
      </c>
      <c r="H12" s="66">
        <v>200</v>
      </c>
      <c r="I12" s="67">
        <v>0</v>
      </c>
      <c r="J12" s="65">
        <v>500</v>
      </c>
      <c r="K12" s="67">
        <v>0</v>
      </c>
      <c r="L12" s="66">
        <v>100</v>
      </c>
      <c r="M12" s="67">
        <v>0</v>
      </c>
      <c r="N12" s="66">
        <v>500</v>
      </c>
      <c r="O12" s="67">
        <v>0</v>
      </c>
      <c r="P12" s="65" t="s">
        <v>77</v>
      </c>
      <c r="Q12" s="47"/>
      <c r="R12" s="47"/>
      <c r="S12" s="47"/>
      <c r="T12" s="47"/>
      <c r="U12" s="47"/>
      <c r="V12" s="47"/>
      <c r="W12" s="47"/>
      <c r="X12" s="47"/>
      <c r="Y12" s="52"/>
      <c r="Z12" s="52"/>
      <c r="AA12" s="48"/>
      <c r="AB12" s="48"/>
    </row>
    <row r="13" spans="1:36" s="39" customFormat="1" ht="15.75" x14ac:dyDescent="0.25">
      <c r="A13" s="35" t="s">
        <v>69</v>
      </c>
      <c r="B13" s="1">
        <v>6</v>
      </c>
      <c r="C13" s="1"/>
      <c r="D13" s="60"/>
      <c r="E13" s="55"/>
      <c r="F13" s="47"/>
      <c r="G13" s="55"/>
      <c r="H13" s="47"/>
      <c r="I13" s="55"/>
      <c r="J13" s="55"/>
      <c r="K13" s="47">
        <v>100</v>
      </c>
      <c r="L13" s="47"/>
      <c r="M13" s="47"/>
      <c r="N13" s="47"/>
      <c r="O13" s="47">
        <v>100</v>
      </c>
      <c r="P13" s="47"/>
      <c r="Q13" s="47"/>
      <c r="R13" s="47"/>
      <c r="S13" s="47"/>
      <c r="T13" s="47"/>
      <c r="U13" s="47"/>
      <c r="V13" s="47"/>
      <c r="W13" s="47"/>
      <c r="X13" s="47"/>
      <c r="Y13" s="52"/>
      <c r="Z13" s="52"/>
      <c r="AA13" s="48"/>
      <c r="AB13" s="48"/>
    </row>
    <row r="14" spans="1:36" s="39" customFormat="1" ht="15.75" x14ac:dyDescent="0.25">
      <c r="A14" s="1"/>
      <c r="B14" s="1"/>
      <c r="C14" s="1"/>
      <c r="D14" s="61"/>
      <c r="E14" s="47"/>
      <c r="F14" s="47"/>
      <c r="G14" s="47"/>
      <c r="H14" s="47"/>
      <c r="I14" s="47"/>
      <c r="J14" s="47"/>
      <c r="K14" s="47" t="s">
        <v>84</v>
      </c>
      <c r="L14" s="47"/>
      <c r="M14" s="47"/>
      <c r="N14" s="47"/>
      <c r="O14" s="47" t="s">
        <v>83</v>
      </c>
      <c r="P14" s="47"/>
      <c r="Q14" s="47"/>
      <c r="R14" s="47"/>
      <c r="S14" s="47"/>
      <c r="T14" s="47"/>
      <c r="U14" s="47"/>
      <c r="V14" s="47"/>
      <c r="W14" s="47"/>
      <c r="X14" s="47"/>
      <c r="Y14" s="52"/>
      <c r="Z14" s="52"/>
      <c r="AA14" s="48"/>
      <c r="AB14" s="48"/>
    </row>
    <row r="15" spans="1:36" s="39" customFormat="1" ht="15.75" x14ac:dyDescent="0.25">
      <c r="A15" s="34" t="s">
        <v>65</v>
      </c>
      <c r="B15" s="1"/>
      <c r="C15" s="1"/>
      <c r="D15" s="61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>
        <v>100</v>
      </c>
      <c r="P15" s="47"/>
      <c r="Q15" s="47"/>
      <c r="R15" s="47"/>
      <c r="S15" s="47"/>
      <c r="T15" s="47"/>
      <c r="U15" s="47"/>
      <c r="V15" s="47"/>
      <c r="W15" s="47"/>
      <c r="X15" s="47"/>
      <c r="Y15" s="52"/>
      <c r="Z15" s="52"/>
      <c r="AA15" s="48"/>
      <c r="AB15" s="48"/>
    </row>
    <row r="16" spans="1:36" s="39" customFormat="1" ht="15.75" x14ac:dyDescent="0.25">
      <c r="A16" s="5" t="s">
        <v>67</v>
      </c>
      <c r="B16" s="1" t="s">
        <v>71</v>
      </c>
      <c r="C16" s="1"/>
      <c r="D16" s="60"/>
      <c r="E16" s="55"/>
      <c r="F16" s="47"/>
      <c r="G16" s="55"/>
      <c r="H16" s="47"/>
      <c r="I16" s="55"/>
      <c r="J16" s="55"/>
      <c r="K16" s="47"/>
      <c r="L16" s="47"/>
      <c r="M16" s="47"/>
      <c r="N16" s="47"/>
      <c r="O16" s="47" t="s">
        <v>72</v>
      </c>
      <c r="P16" s="47">
        <v>200</v>
      </c>
      <c r="Q16" s="47"/>
      <c r="R16" s="47"/>
      <c r="S16" s="47"/>
      <c r="T16" s="47"/>
      <c r="U16" s="47"/>
      <c r="V16" s="47"/>
      <c r="W16" s="47"/>
      <c r="X16" s="47"/>
      <c r="Y16" s="52"/>
      <c r="Z16" s="52"/>
      <c r="AA16" s="48"/>
      <c r="AB16" s="48"/>
    </row>
    <row r="17" spans="1:28" s="39" customFormat="1" ht="15.75" x14ac:dyDescent="0.25">
      <c r="A17" s="5" t="s">
        <v>68</v>
      </c>
      <c r="B17" s="1" t="s">
        <v>74</v>
      </c>
      <c r="C17" s="1"/>
      <c r="D17" s="61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 t="s">
        <v>74</v>
      </c>
      <c r="Q17" s="47"/>
      <c r="R17" s="47"/>
      <c r="S17" s="47"/>
      <c r="T17" s="47"/>
      <c r="U17" s="47"/>
      <c r="V17" s="47"/>
      <c r="W17" s="47"/>
      <c r="X17" s="47"/>
      <c r="Y17" s="52"/>
      <c r="Z17" s="52"/>
      <c r="AA17" s="48"/>
      <c r="AB17" s="48"/>
    </row>
    <row r="18" spans="1:28" s="39" customFormat="1" ht="15.75" x14ac:dyDescent="0.25">
      <c r="A18" s="35" t="s">
        <v>69</v>
      </c>
      <c r="B18" s="1">
        <v>5</v>
      </c>
      <c r="C18" s="1"/>
      <c r="D18" s="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52"/>
      <c r="Z18" s="52"/>
      <c r="AA18" s="48"/>
      <c r="AB18" s="48"/>
    </row>
    <row r="19" spans="1:28" s="39" customFormat="1" ht="15.75" x14ac:dyDescent="0.25">
      <c r="A19" s="1"/>
      <c r="B19" s="1"/>
      <c r="C19" s="1"/>
      <c r="D19" s="61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52"/>
      <c r="Z19" s="52"/>
      <c r="AA19" s="48"/>
      <c r="AB19" s="48"/>
    </row>
    <row r="20" spans="1:28" s="39" customFormat="1" ht="15.75" x14ac:dyDescent="0.25">
      <c r="A20" s="41"/>
      <c r="B20" s="1"/>
      <c r="C20" s="1"/>
      <c r="D20" s="60"/>
      <c r="E20" s="55"/>
      <c r="F20" s="47"/>
      <c r="G20" s="55"/>
      <c r="H20" s="55"/>
      <c r="I20" s="55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52"/>
      <c r="Z20" s="52"/>
      <c r="AA20" s="48"/>
      <c r="AB20" s="48"/>
    </row>
    <row r="21" spans="1:28" s="39" customFormat="1" ht="15.75" x14ac:dyDescent="0.25">
      <c r="A21" s="37"/>
      <c r="B21" s="1"/>
      <c r="C21" s="1"/>
      <c r="D21" s="61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8"/>
      <c r="Z21" s="48"/>
      <c r="AA21" s="48"/>
      <c r="AB21" s="48"/>
    </row>
    <row r="22" spans="1:28" s="39" customFormat="1" ht="15.75" x14ac:dyDescent="0.25">
      <c r="A22" s="37"/>
      <c r="B22" s="1"/>
      <c r="C22" s="1"/>
      <c r="D22" s="60"/>
      <c r="E22" s="55"/>
      <c r="F22" s="47"/>
      <c r="G22" s="55"/>
      <c r="H22" s="47"/>
      <c r="I22" s="55"/>
      <c r="J22" s="47"/>
      <c r="K22" s="55"/>
      <c r="L22" s="47"/>
      <c r="M22" s="55"/>
      <c r="N22" s="47"/>
      <c r="O22" s="55"/>
      <c r="P22" s="47"/>
      <c r="Q22" s="55"/>
      <c r="R22" s="55"/>
      <c r="S22" s="47"/>
      <c r="T22" s="47"/>
      <c r="U22" s="47"/>
      <c r="V22" s="47"/>
      <c r="W22" s="47"/>
      <c r="X22" s="47"/>
    </row>
    <row r="23" spans="1:28" s="39" customFormat="1" ht="15.75" x14ac:dyDescent="0.25">
      <c r="A23" s="37"/>
      <c r="B23" s="1"/>
      <c r="C23" s="1"/>
      <c r="D23" s="60"/>
      <c r="E23" s="55"/>
      <c r="F23" s="47"/>
      <c r="G23" s="55"/>
      <c r="H23" s="47"/>
      <c r="I23" s="55"/>
      <c r="J23" s="47"/>
      <c r="K23" s="55"/>
      <c r="L23" s="47"/>
      <c r="M23" s="55"/>
      <c r="N23" s="47"/>
      <c r="O23" s="55"/>
      <c r="P23" s="47"/>
      <c r="Q23" s="55"/>
      <c r="R23" s="55"/>
      <c r="S23" s="47"/>
      <c r="T23" s="47"/>
      <c r="U23" s="47"/>
      <c r="V23" s="47"/>
      <c r="W23" s="47"/>
      <c r="X23" s="47"/>
    </row>
    <row r="24" spans="1:28" s="39" customFormat="1" ht="15.75" x14ac:dyDescent="0.25">
      <c r="A24" s="37"/>
      <c r="B24" s="1"/>
      <c r="C24" s="1"/>
      <c r="D24" s="61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8" s="39" customFormat="1" ht="15.75" x14ac:dyDescent="0.25">
      <c r="A25" s="1"/>
      <c r="B25" s="1"/>
      <c r="C25" s="1"/>
      <c r="D25" s="61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 t="s">
        <v>71</v>
      </c>
      <c r="P25" s="47"/>
      <c r="Q25" s="47"/>
      <c r="R25" s="47"/>
      <c r="S25" s="47"/>
      <c r="T25" s="47"/>
      <c r="U25" s="47"/>
      <c r="V25" s="47"/>
      <c r="W25" s="47"/>
      <c r="X25" s="47"/>
    </row>
    <row r="26" spans="1:28" s="39" customFormat="1" ht="16.5" thickBot="1" x14ac:dyDescent="0.3">
      <c r="A26" s="1"/>
      <c r="B26" s="1"/>
      <c r="C26" s="1"/>
      <c r="D26" s="60"/>
      <c r="E26" s="55"/>
      <c r="F26" s="47"/>
      <c r="G26" s="55"/>
      <c r="H26" s="47"/>
      <c r="I26" s="55"/>
      <c r="J26" s="47"/>
      <c r="K26" s="55"/>
      <c r="L26" s="47"/>
      <c r="M26" s="55"/>
      <c r="N26" s="47"/>
      <c r="O26" s="55">
        <v>100</v>
      </c>
      <c r="P26" s="47"/>
      <c r="Q26" s="55"/>
      <c r="R26" s="55"/>
      <c r="S26" s="47"/>
      <c r="T26" s="47"/>
      <c r="U26" s="47"/>
      <c r="V26" s="47"/>
      <c r="W26" s="47"/>
      <c r="X26" s="47"/>
    </row>
    <row r="27" spans="1:28" s="39" customFormat="1" ht="16.5" thickBot="1" x14ac:dyDescent="0.3">
      <c r="A27" s="1"/>
      <c r="B27" s="1"/>
      <c r="C27" s="1"/>
      <c r="D27" s="60" t="s">
        <v>75</v>
      </c>
      <c r="E27" s="65" t="s">
        <v>90</v>
      </c>
      <c r="F27" s="66">
        <v>100</v>
      </c>
      <c r="G27" s="67">
        <v>0</v>
      </c>
      <c r="H27" s="66">
        <v>100</v>
      </c>
      <c r="I27" s="67">
        <v>0</v>
      </c>
      <c r="J27" s="66">
        <v>100</v>
      </c>
      <c r="K27" s="67">
        <v>0</v>
      </c>
      <c r="L27" s="66">
        <v>200</v>
      </c>
      <c r="M27" s="67">
        <v>0</v>
      </c>
      <c r="N27" s="66">
        <v>300</v>
      </c>
      <c r="O27" s="67">
        <v>0</v>
      </c>
      <c r="P27" s="66">
        <v>110</v>
      </c>
      <c r="Q27" s="67">
        <v>0</v>
      </c>
      <c r="R27" s="65" t="s">
        <v>73</v>
      </c>
      <c r="S27" s="47"/>
      <c r="T27" s="47"/>
      <c r="U27" s="47"/>
      <c r="V27" s="47"/>
      <c r="W27" s="47"/>
      <c r="X27" s="47"/>
    </row>
    <row r="28" spans="1:28" s="39" customFormat="1" ht="15.75" x14ac:dyDescent="0.25">
      <c r="A28" s="1"/>
      <c r="B28" s="1"/>
      <c r="C28" s="1"/>
      <c r="D28" s="61"/>
      <c r="E28" s="47"/>
      <c r="F28" s="47"/>
      <c r="G28" s="47"/>
      <c r="H28" s="47"/>
      <c r="I28" s="47"/>
      <c r="J28" s="47"/>
      <c r="K28" s="47">
        <v>300</v>
      </c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1:28" s="39" customFormat="1" ht="15.75" x14ac:dyDescent="0.25">
      <c r="A29" s="1"/>
      <c r="B29" s="1"/>
      <c r="C29" s="1"/>
      <c r="D29" s="61"/>
      <c r="E29" s="47"/>
      <c r="F29" s="47"/>
      <c r="G29" s="47"/>
      <c r="H29" s="47"/>
      <c r="I29" s="47"/>
      <c r="J29" s="47"/>
      <c r="K29" s="47" t="s">
        <v>91</v>
      </c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</row>
    <row r="30" spans="1:28" s="39" customFormat="1" ht="15.75" x14ac:dyDescent="0.25">
      <c r="A30" s="1"/>
      <c r="B30" s="1"/>
      <c r="C30" s="1"/>
      <c r="D30" s="60"/>
      <c r="E30" s="55"/>
      <c r="F30" s="47"/>
      <c r="G30" s="55"/>
      <c r="H30" s="55"/>
      <c r="I30" s="55"/>
      <c r="J30" s="47"/>
      <c r="K30" s="55">
        <v>100</v>
      </c>
      <c r="L30" s="47"/>
      <c r="M30" s="55"/>
      <c r="N30" s="47"/>
      <c r="O30" s="55"/>
      <c r="P30" s="55"/>
      <c r="Q30" s="47"/>
      <c r="R30" s="47"/>
      <c r="S30" s="47"/>
      <c r="T30" s="47"/>
      <c r="U30" s="47"/>
      <c r="V30" s="47"/>
      <c r="W30" s="47"/>
      <c r="X30" s="47"/>
    </row>
    <row r="31" spans="1:28" s="39" customFormat="1" ht="15.75" x14ac:dyDescent="0.25">
      <c r="A31" s="1"/>
      <c r="B31" s="1"/>
      <c r="C31" s="1"/>
      <c r="D31" s="61"/>
      <c r="E31" s="47"/>
      <c r="F31" s="47"/>
      <c r="G31" s="47"/>
      <c r="H31" s="47"/>
      <c r="I31" s="47"/>
      <c r="J31" s="47"/>
      <c r="K31" s="47" t="s">
        <v>92</v>
      </c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</row>
    <row r="32" spans="1:28" s="39" customFormat="1" ht="15.75" x14ac:dyDescent="0.25">
      <c r="A32" s="1"/>
      <c r="B32" s="1"/>
      <c r="C32" s="1"/>
      <c r="D32" s="61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37"/>
      <c r="Z32" s="37"/>
      <c r="AA32" s="37"/>
    </row>
    <row r="33" spans="1:27" s="39" customFormat="1" ht="15.75" x14ac:dyDescent="0.25">
      <c r="A33" s="1"/>
      <c r="B33" s="1"/>
      <c r="C33" s="1"/>
      <c r="D33" s="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37"/>
      <c r="Z33" s="37"/>
      <c r="AA33" s="37"/>
    </row>
    <row r="34" spans="1:27" s="39" customFormat="1" ht="15.75" x14ac:dyDescent="0.25">
      <c r="A34" s="1"/>
      <c r="B34" s="1"/>
      <c r="C34" s="1"/>
      <c r="D34" s="61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37"/>
      <c r="Z34" s="37"/>
      <c r="AA34" s="37"/>
    </row>
    <row r="35" spans="1:27" s="39" customFormat="1" ht="15.75" x14ac:dyDescent="0.25">
      <c r="A35" s="1"/>
      <c r="B35" s="1"/>
      <c r="C35" s="1"/>
      <c r="D35" s="61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37"/>
      <c r="Z35" s="37"/>
      <c r="AA35" s="37"/>
    </row>
    <row r="36" spans="1:27" s="39" customFormat="1" ht="15.75" x14ac:dyDescent="0.25">
      <c r="A36" s="1"/>
      <c r="B36" s="1"/>
      <c r="C36" s="1"/>
      <c r="D36" s="61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37"/>
      <c r="Z36" s="37"/>
      <c r="AA36" s="37"/>
    </row>
    <row r="37" spans="1:27" s="39" customFormat="1" ht="15.75" x14ac:dyDescent="0.25">
      <c r="A37" s="1"/>
      <c r="B37" s="1"/>
      <c r="C37" s="1"/>
      <c r="D37" s="61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37"/>
      <c r="Z37" s="37"/>
      <c r="AA37" s="37"/>
    </row>
    <row r="38" spans="1:27" s="39" customFormat="1" ht="15.75" x14ac:dyDescent="0.25">
      <c r="A38"/>
      <c r="B38"/>
      <c r="C38"/>
      <c r="D38" s="61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37"/>
      <c r="Z38" s="37"/>
      <c r="AA38" s="37"/>
    </row>
    <row r="39" spans="1:27" s="39" customFormat="1" ht="15.75" x14ac:dyDescent="0.25">
      <c r="A39"/>
      <c r="B39"/>
      <c r="C39"/>
      <c r="D39" s="61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37"/>
      <c r="Z39" s="37"/>
      <c r="AA39" s="37"/>
    </row>
    <row r="40" spans="1:27" s="39" customFormat="1" ht="15.75" x14ac:dyDescent="0.25">
      <c r="A40"/>
      <c r="B40"/>
      <c r="C40"/>
      <c r="D40" s="61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37"/>
      <c r="Z40" s="37"/>
      <c r="AA40" s="37"/>
    </row>
    <row r="41" spans="1:27" s="39" customFormat="1" ht="16.5" thickBot="1" x14ac:dyDescent="0.3">
      <c r="A41"/>
      <c r="B41"/>
      <c r="C41"/>
      <c r="D41" s="61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37"/>
      <c r="Z41" s="37"/>
      <c r="AA41" s="37"/>
    </row>
    <row r="42" spans="1:27" s="39" customFormat="1" ht="16.5" thickBot="1" x14ac:dyDescent="0.3">
      <c r="A42"/>
      <c r="B42"/>
      <c r="C42"/>
      <c r="D42" s="60" t="s">
        <v>65</v>
      </c>
      <c r="E42" s="65" t="s">
        <v>71</v>
      </c>
      <c r="F42" s="66"/>
      <c r="G42" s="67">
        <v>0</v>
      </c>
      <c r="H42" s="66"/>
      <c r="I42" s="67">
        <v>0</v>
      </c>
      <c r="J42" s="66"/>
      <c r="K42" s="67">
        <v>0</v>
      </c>
      <c r="L42" s="66"/>
      <c r="M42" s="67">
        <v>0</v>
      </c>
      <c r="N42" s="66"/>
      <c r="O42" s="67">
        <v>0</v>
      </c>
      <c r="P42" s="65" t="s">
        <v>74</v>
      </c>
      <c r="Q42" s="47"/>
      <c r="R42" s="47"/>
      <c r="S42" s="47"/>
      <c r="T42" s="47"/>
      <c r="U42" s="47"/>
      <c r="V42" s="47"/>
      <c r="W42" s="47"/>
      <c r="X42" s="47"/>
      <c r="Y42" s="37"/>
      <c r="Z42" s="37"/>
      <c r="AA42" s="37"/>
    </row>
    <row r="43" spans="1:27" s="39" customFormat="1" ht="15.75" x14ac:dyDescent="0.25">
      <c r="A43"/>
      <c r="B43"/>
      <c r="C43"/>
      <c r="D43" s="61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37"/>
      <c r="Z43" s="37"/>
      <c r="AA43" s="37"/>
    </row>
    <row r="44" spans="1:27" s="39" customFormat="1" ht="15.75" x14ac:dyDescent="0.25">
      <c r="A44"/>
      <c r="B44"/>
      <c r="C44"/>
      <c r="D44" s="61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37"/>
      <c r="Z44" s="37"/>
      <c r="AA44" s="37"/>
    </row>
    <row r="45" spans="1:27" s="39" customFormat="1" ht="15.75" x14ac:dyDescent="0.25">
      <c r="A45"/>
      <c r="B45"/>
      <c r="C45"/>
      <c r="D45" s="61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37"/>
      <c r="Z45" s="37"/>
      <c r="AA45" s="37"/>
    </row>
    <row r="46" spans="1:27" s="39" customFormat="1" ht="15.75" x14ac:dyDescent="0.25">
      <c r="A46"/>
      <c r="B46"/>
      <c r="C46"/>
      <c r="D46" s="61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37"/>
      <c r="Z46" s="37"/>
      <c r="AA46" s="37"/>
    </row>
    <row r="47" spans="1:27" s="39" customFormat="1" ht="15.75" x14ac:dyDescent="0.25">
      <c r="A47"/>
      <c r="B47"/>
      <c r="C47"/>
      <c r="D47" s="61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37"/>
      <c r="Z47" s="37"/>
      <c r="AA47" s="37"/>
    </row>
    <row r="48" spans="1:27" s="39" customFormat="1" ht="15.75" x14ac:dyDescent="0.25">
      <c r="A48"/>
      <c r="B48"/>
      <c r="C48"/>
      <c r="D48" s="61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37"/>
      <c r="Z48" s="37"/>
      <c r="AA48" s="37"/>
    </row>
    <row r="49" spans="1:27" s="39" customFormat="1" ht="15.75" x14ac:dyDescent="0.25">
      <c r="A49"/>
      <c r="B49"/>
      <c r="C49"/>
      <c r="D49" s="61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37"/>
      <c r="Z49" s="37"/>
      <c r="AA49" s="37"/>
    </row>
    <row r="50" spans="1:27" s="39" customFormat="1" ht="15.75" x14ac:dyDescent="0.25">
      <c r="A50"/>
      <c r="B50"/>
      <c r="C50"/>
      <c r="D50" s="61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37"/>
      <c r="Z50" s="37"/>
      <c r="AA50" s="37"/>
    </row>
    <row r="51" spans="1:27" s="39" customFormat="1" ht="15.75" x14ac:dyDescent="0.25">
      <c r="A51"/>
      <c r="B51"/>
      <c r="C51"/>
      <c r="D51" s="61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37"/>
      <c r="Z51" s="37"/>
      <c r="AA51" s="37"/>
    </row>
    <row r="52" spans="1:27" s="39" customFormat="1" ht="15.75" x14ac:dyDescent="0.25">
      <c r="A52"/>
      <c r="B52"/>
      <c r="C52"/>
      <c r="D52" s="61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37"/>
      <c r="Z52" s="37"/>
      <c r="AA52" s="37"/>
    </row>
    <row r="53" spans="1:27" s="39" customFormat="1" ht="15.75" x14ac:dyDescent="0.25">
      <c r="A53"/>
      <c r="B53"/>
      <c r="C53"/>
      <c r="D53" s="6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37"/>
      <c r="Z53" s="37"/>
      <c r="AA53" s="37"/>
    </row>
    <row r="54" spans="1:27" s="39" customFormat="1" ht="15.75" x14ac:dyDescent="0.25">
      <c r="A54"/>
      <c r="B54"/>
      <c r="C54"/>
      <c r="D54" s="61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37"/>
      <c r="Z54" s="37"/>
      <c r="AA54" s="37"/>
    </row>
    <row r="55" spans="1:27" s="39" customFormat="1" ht="15.75" x14ac:dyDescent="0.25">
      <c r="A55"/>
      <c r="B55"/>
      <c r="C55"/>
      <c r="D55" s="61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37"/>
      <c r="Z55" s="37"/>
      <c r="AA55" s="37"/>
    </row>
    <row r="56" spans="1:27" s="39" customFormat="1" ht="15.75" x14ac:dyDescent="0.25">
      <c r="A56"/>
      <c r="B56"/>
      <c r="C56"/>
      <c r="D56" s="61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37"/>
      <c r="Z56" s="37"/>
      <c r="AA56" s="37"/>
    </row>
    <row r="57" spans="1:27" s="39" customFormat="1" ht="15.75" x14ac:dyDescent="0.25">
      <c r="A57"/>
      <c r="B57"/>
      <c r="C57"/>
      <c r="D57" s="6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37"/>
      <c r="Z57" s="37"/>
      <c r="AA57" s="37"/>
    </row>
    <row r="58" spans="1:27" s="39" customFormat="1" ht="15.75" x14ac:dyDescent="0.25">
      <c r="A58"/>
      <c r="B58"/>
      <c r="C58"/>
      <c r="D58" s="61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37"/>
      <c r="Z58" s="37"/>
      <c r="AA58" s="37"/>
    </row>
    <row r="59" spans="1:27" s="39" customFormat="1" ht="15.75" x14ac:dyDescent="0.25">
      <c r="A59"/>
      <c r="B59"/>
      <c r="C59"/>
      <c r="D59" s="61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37"/>
      <c r="Z59" s="37"/>
      <c r="AA59" s="37"/>
    </row>
    <row r="60" spans="1:27" s="39" customFormat="1" ht="15.75" x14ac:dyDescent="0.25">
      <c r="A60"/>
      <c r="B60"/>
      <c r="C60"/>
      <c r="D60" s="61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37"/>
      <c r="Z60" s="37"/>
      <c r="AA60" s="37"/>
    </row>
    <row r="61" spans="1:27" s="39" customFormat="1" ht="15.75" x14ac:dyDescent="0.25">
      <c r="A61"/>
      <c r="B61"/>
      <c r="C61"/>
      <c r="D61" s="61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37"/>
      <c r="Z61" s="37"/>
      <c r="AA61" s="37"/>
    </row>
    <row r="62" spans="1:27" s="39" customFormat="1" ht="15.75" x14ac:dyDescent="0.25">
      <c r="A62"/>
      <c r="B62"/>
      <c r="C62"/>
      <c r="D62" s="61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37"/>
      <c r="Z62" s="37"/>
      <c r="AA62" s="37"/>
    </row>
    <row r="63" spans="1:27" s="39" customFormat="1" ht="15.75" x14ac:dyDescent="0.25">
      <c r="A63"/>
      <c r="B63"/>
      <c r="C63"/>
      <c r="D63" s="61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37"/>
      <c r="Z63" s="37"/>
      <c r="AA63" s="37"/>
    </row>
    <row r="64" spans="1:27" s="39" customFormat="1" ht="15.75" x14ac:dyDescent="0.25">
      <c r="A64"/>
      <c r="B64"/>
      <c r="C64"/>
      <c r="D64" s="61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37"/>
      <c r="Z64" s="37"/>
      <c r="AA64" s="37"/>
    </row>
    <row r="65" spans="1:27" s="39" customFormat="1" ht="15.75" x14ac:dyDescent="0.25">
      <c r="A65"/>
      <c r="B65"/>
      <c r="C65"/>
      <c r="D65" s="61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37"/>
      <c r="Z65" s="37"/>
      <c r="AA65" s="37"/>
    </row>
    <row r="66" spans="1:27" s="39" customFormat="1" ht="15.75" x14ac:dyDescent="0.25">
      <c r="A66"/>
      <c r="B66"/>
      <c r="C66"/>
      <c r="D66" s="61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37"/>
      <c r="Z66" s="37"/>
      <c r="AA66" s="37"/>
    </row>
    <row r="67" spans="1:27" s="39" customFormat="1" ht="15.75" x14ac:dyDescent="0.25">
      <c r="A67"/>
      <c r="B67"/>
      <c r="C67"/>
      <c r="D67" s="61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37"/>
      <c r="Z67" s="37"/>
      <c r="AA67" s="37"/>
    </row>
    <row r="68" spans="1:27" s="39" customFormat="1" ht="15.75" x14ac:dyDescent="0.25">
      <c r="A68"/>
      <c r="B68"/>
      <c r="C68"/>
      <c r="D68" s="61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37"/>
      <c r="Z68" s="37"/>
      <c r="AA68" s="37"/>
    </row>
    <row r="69" spans="1:27" s="39" customFormat="1" ht="15.75" x14ac:dyDescent="0.25">
      <c r="A69"/>
      <c r="B69"/>
      <c r="C69"/>
      <c r="D69" s="61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37"/>
      <c r="Z69" s="37"/>
      <c r="AA69" s="37"/>
    </row>
    <row r="70" spans="1:27" s="39" customFormat="1" ht="15.75" x14ac:dyDescent="0.25">
      <c r="A70"/>
      <c r="B70"/>
      <c r="C70"/>
      <c r="D70" s="61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37"/>
      <c r="Z70" s="37"/>
      <c r="AA70" s="37"/>
    </row>
    <row r="71" spans="1:27" s="39" customFormat="1" ht="15.75" x14ac:dyDescent="0.25">
      <c r="A71"/>
      <c r="B71"/>
      <c r="C71"/>
      <c r="D71" s="61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37"/>
      <c r="Z71" s="37"/>
      <c r="AA71" s="37"/>
    </row>
    <row r="72" spans="1:27" s="39" customFormat="1" ht="15.75" x14ac:dyDescent="0.25">
      <c r="A72"/>
      <c r="B72"/>
      <c r="C72"/>
      <c r="D72" s="61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37"/>
      <c r="Z72" s="37"/>
      <c r="AA72" s="37"/>
    </row>
    <row r="73" spans="1:27" s="39" customFormat="1" ht="15.75" x14ac:dyDescent="0.25">
      <c r="A73"/>
      <c r="B73"/>
      <c r="C73"/>
      <c r="D73" s="61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37"/>
      <c r="Z73" s="37"/>
      <c r="AA73" s="37"/>
    </row>
    <row r="74" spans="1:27" s="39" customFormat="1" ht="15.75" x14ac:dyDescent="0.25">
      <c r="A74"/>
      <c r="B74"/>
      <c r="C74"/>
      <c r="D74" s="61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37"/>
      <c r="Z74" s="37"/>
      <c r="AA74" s="37"/>
    </row>
    <row r="75" spans="1:27" s="39" customFormat="1" ht="15.75" x14ac:dyDescent="0.25">
      <c r="A75"/>
      <c r="B75"/>
      <c r="C75"/>
      <c r="D75" s="61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37"/>
      <c r="Z75" s="37"/>
      <c r="AA75" s="37"/>
    </row>
    <row r="76" spans="1:27" s="39" customFormat="1" ht="15.75" x14ac:dyDescent="0.25">
      <c r="A76"/>
      <c r="B76"/>
      <c r="C76"/>
      <c r="D76" s="61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37"/>
      <c r="Z76" s="37"/>
      <c r="AA76" s="37"/>
    </row>
    <row r="77" spans="1:27" s="39" customFormat="1" ht="15.75" x14ac:dyDescent="0.25">
      <c r="A77"/>
      <c r="B77"/>
      <c r="C77"/>
      <c r="D77" s="61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37"/>
      <c r="Z77" s="37"/>
      <c r="AA77" s="37"/>
    </row>
    <row r="78" spans="1:27" s="39" customFormat="1" ht="15.75" x14ac:dyDescent="0.25">
      <c r="A78"/>
      <c r="B78"/>
      <c r="C78"/>
      <c r="D78" s="61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37"/>
      <c r="Z78" s="37"/>
      <c r="AA78" s="37"/>
    </row>
    <row r="79" spans="1:27" s="39" customFormat="1" ht="15.75" x14ac:dyDescent="0.25">
      <c r="A79"/>
      <c r="B79"/>
      <c r="C79"/>
      <c r="D79" s="61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37"/>
      <c r="Z79" s="37"/>
      <c r="AA79" s="37"/>
    </row>
    <row r="80" spans="1:27" s="39" customFormat="1" ht="15.75" x14ac:dyDescent="0.25">
      <c r="A80"/>
      <c r="B80"/>
      <c r="C80"/>
      <c r="D80" s="61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37"/>
      <c r="Z80" s="37"/>
      <c r="AA80" s="37"/>
    </row>
    <row r="81" spans="1:27" s="39" customFormat="1" ht="15.75" x14ac:dyDescent="0.25">
      <c r="A81"/>
      <c r="B81"/>
      <c r="C81"/>
      <c r="D81" s="61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37"/>
      <c r="Z81" s="37"/>
      <c r="AA81" s="37"/>
    </row>
    <row r="82" spans="1:27" s="39" customFormat="1" ht="15.75" x14ac:dyDescent="0.25">
      <c r="A82"/>
      <c r="B82"/>
      <c r="C82"/>
      <c r="D82" s="61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37"/>
      <c r="Z82" s="37"/>
      <c r="AA82" s="37"/>
    </row>
    <row r="83" spans="1:27" s="39" customFormat="1" ht="15.75" x14ac:dyDescent="0.25">
      <c r="A83"/>
      <c r="B83"/>
      <c r="C83"/>
      <c r="D83" s="61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37"/>
      <c r="Z83" s="37"/>
      <c r="AA83" s="37"/>
    </row>
    <row r="84" spans="1:27" s="39" customFormat="1" ht="15.75" x14ac:dyDescent="0.25">
      <c r="A84"/>
      <c r="B84"/>
      <c r="C84"/>
      <c r="D84" s="61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37"/>
      <c r="Z84" s="37"/>
      <c r="AA84" s="37"/>
    </row>
    <row r="85" spans="1:27" s="39" customFormat="1" ht="15.75" x14ac:dyDescent="0.25">
      <c r="A85"/>
      <c r="B85"/>
      <c r="C85"/>
      <c r="D85" s="61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37"/>
      <c r="Z85" s="37"/>
      <c r="AA85" s="37"/>
    </row>
    <row r="86" spans="1:27" s="39" customFormat="1" ht="15.75" x14ac:dyDescent="0.25">
      <c r="A86"/>
      <c r="B86"/>
      <c r="C86"/>
      <c r="D86" s="61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37"/>
      <c r="Z86" s="37"/>
      <c r="AA86" s="37"/>
    </row>
    <row r="87" spans="1:27" s="39" customFormat="1" ht="15.75" x14ac:dyDescent="0.25">
      <c r="A87"/>
      <c r="B87"/>
      <c r="C87"/>
      <c r="D87" s="61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37"/>
      <c r="Z87" s="37"/>
      <c r="AA87" s="37"/>
    </row>
    <row r="88" spans="1:27" s="39" customFormat="1" ht="15.75" x14ac:dyDescent="0.25">
      <c r="A88"/>
      <c r="B88"/>
      <c r="C88"/>
      <c r="D88" s="61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37"/>
      <c r="Z88" s="37"/>
      <c r="AA88" s="37"/>
    </row>
    <row r="89" spans="1:27" s="39" customFormat="1" ht="15.75" x14ac:dyDescent="0.25">
      <c r="A89"/>
      <c r="B89"/>
      <c r="C89"/>
      <c r="D89" s="61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37"/>
      <c r="Z89" s="37"/>
      <c r="AA89" s="37"/>
    </row>
    <row r="90" spans="1:27" s="39" customFormat="1" ht="15.75" x14ac:dyDescent="0.25">
      <c r="A90"/>
      <c r="B90"/>
      <c r="C90"/>
      <c r="D90" s="61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37"/>
      <c r="Z90" s="37"/>
      <c r="AA90" s="37"/>
    </row>
    <row r="91" spans="1:27" s="39" customFormat="1" ht="15.75" x14ac:dyDescent="0.25">
      <c r="A91"/>
      <c r="B91"/>
      <c r="C91"/>
      <c r="D91" s="61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37"/>
      <c r="Z91" s="37"/>
      <c r="AA91" s="37"/>
    </row>
    <row r="92" spans="1:27" s="39" customFormat="1" ht="15.75" x14ac:dyDescent="0.25">
      <c r="A92"/>
      <c r="B92"/>
      <c r="C92"/>
      <c r="D92" s="61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37"/>
      <c r="Z92" s="37"/>
      <c r="AA92" s="37"/>
    </row>
    <row r="93" spans="1:27" s="39" customFormat="1" ht="15.75" x14ac:dyDescent="0.25">
      <c r="A93"/>
      <c r="B93"/>
      <c r="C93"/>
      <c r="D93" s="61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37"/>
      <c r="Z93" s="37"/>
      <c r="AA93" s="37"/>
    </row>
    <row r="94" spans="1:27" s="39" customFormat="1" ht="15.75" x14ac:dyDescent="0.25">
      <c r="A94"/>
      <c r="B94"/>
      <c r="C94"/>
      <c r="D94" s="61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37"/>
      <c r="Z94" s="37"/>
      <c r="AA94" s="37"/>
    </row>
    <row r="95" spans="1:27" s="39" customFormat="1" ht="15.75" x14ac:dyDescent="0.25">
      <c r="A95"/>
      <c r="B95"/>
      <c r="C95"/>
      <c r="D95" s="61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37"/>
      <c r="Z95" s="37"/>
      <c r="AA95" s="37"/>
    </row>
    <row r="96" spans="1:27" s="39" customFormat="1" ht="15.75" x14ac:dyDescent="0.25">
      <c r="A96"/>
      <c r="B96"/>
      <c r="C96"/>
      <c r="D96" s="61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37"/>
      <c r="Z96" s="37"/>
      <c r="AA96" s="37"/>
    </row>
    <row r="97" spans="1:27" s="39" customFormat="1" ht="15.75" x14ac:dyDescent="0.25">
      <c r="A97"/>
      <c r="B97"/>
      <c r="C97"/>
      <c r="D97" s="61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37"/>
      <c r="Z97" s="37"/>
      <c r="AA97" s="37"/>
    </row>
    <row r="98" spans="1:27" s="39" customFormat="1" ht="15.75" x14ac:dyDescent="0.25">
      <c r="A98"/>
      <c r="B98"/>
      <c r="C98"/>
      <c r="D98" s="61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37"/>
      <c r="Z98" s="37"/>
      <c r="AA98" s="37"/>
    </row>
    <row r="99" spans="1:27" s="39" customFormat="1" ht="15.75" x14ac:dyDescent="0.25">
      <c r="A99"/>
      <c r="B99"/>
      <c r="C99"/>
      <c r="D99" s="61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37"/>
      <c r="Z99" s="37"/>
      <c r="AA99" s="37"/>
    </row>
    <row r="100" spans="1:27" s="39" customFormat="1" ht="15.75" x14ac:dyDescent="0.25">
      <c r="A100"/>
      <c r="B100"/>
      <c r="C100"/>
      <c r="D100" s="61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37"/>
      <c r="Z100" s="37"/>
      <c r="AA100" s="37"/>
    </row>
    <row r="101" spans="1:27" ht="15.75" x14ac:dyDescent="0.25">
      <c r="D101" s="61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"/>
      <c r="Z101" s="1"/>
      <c r="AA101" s="1"/>
    </row>
    <row r="102" spans="1:27" ht="15.75" x14ac:dyDescent="0.25">
      <c r="D102" s="61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"/>
      <c r="Z102" s="1"/>
      <c r="AA102" s="1"/>
    </row>
    <row r="103" spans="1:27" ht="15.75" x14ac:dyDescent="0.25">
      <c r="D103" s="61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"/>
      <c r="Z103" s="1"/>
      <c r="AA103" s="1"/>
    </row>
    <row r="104" spans="1:27" ht="15.75" x14ac:dyDescent="0.25">
      <c r="D104" s="1"/>
      <c r="E104" s="57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.75" x14ac:dyDescent="0.25">
      <c r="D105" s="1"/>
      <c r="E105" s="57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.75" x14ac:dyDescent="0.25">
      <c r="D106" s="1"/>
      <c r="E106" s="57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.75" x14ac:dyDescent="0.25">
      <c r="D107" s="1"/>
      <c r="E107" s="57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.75" x14ac:dyDescent="0.25">
      <c r="D108" s="1"/>
      <c r="E108" s="57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.75" x14ac:dyDescent="0.25">
      <c r="D109" s="1"/>
      <c r="E109" s="5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.75" x14ac:dyDescent="0.25">
      <c r="D110" s="1"/>
      <c r="E110" s="57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.75" x14ac:dyDescent="0.25">
      <c r="D111" s="1"/>
      <c r="E111" s="57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.75" x14ac:dyDescent="0.25">
      <c r="D112" s="1"/>
      <c r="E112" s="57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 ht="15.75" x14ac:dyDescent="0.25">
      <c r="D113" s="1"/>
      <c r="E113" s="57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 ht="15.75" x14ac:dyDescent="0.25">
      <c r="D114" s="1"/>
      <c r="E114" s="57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 ht="15.75" x14ac:dyDescent="0.25">
      <c r="D115" s="1"/>
      <c r="E115" s="57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 ht="15.75" x14ac:dyDescent="0.25">
      <c r="D116" s="1"/>
      <c r="E116" s="57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 ht="15.75" x14ac:dyDescent="0.25">
      <c r="D117" s="1"/>
      <c r="E117" s="57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 ht="15.75" x14ac:dyDescent="0.25">
      <c r="D118" s="1"/>
      <c r="E118" s="57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 ht="15.75" x14ac:dyDescent="0.25">
      <c r="D119" s="1"/>
      <c r="E119" s="57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 ht="15.75" x14ac:dyDescent="0.25">
      <c r="D120" s="1"/>
      <c r="E120" s="57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 ht="15.75" x14ac:dyDescent="0.25">
      <c r="D121" s="1"/>
      <c r="E121" s="57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 ht="15.75" x14ac:dyDescent="0.25">
      <c r="D122" s="1"/>
      <c r="E122" s="57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 ht="15.75" x14ac:dyDescent="0.25">
      <c r="D123" s="1"/>
      <c r="E123" s="57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 ht="15.75" x14ac:dyDescent="0.25">
      <c r="D124" s="1"/>
      <c r="E124" s="57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 ht="15.75" x14ac:dyDescent="0.25">
      <c r="D125" s="1"/>
      <c r="E125" s="57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 ht="15.75" x14ac:dyDescent="0.25">
      <c r="D126" s="1"/>
      <c r="E126" s="57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 ht="15.75" x14ac:dyDescent="0.25">
      <c r="D127" s="1"/>
      <c r="E127" s="57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 ht="15.75" x14ac:dyDescent="0.25">
      <c r="D128" s="1"/>
      <c r="E128" s="57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 ht="15.75" x14ac:dyDescent="0.25">
      <c r="D129" s="1"/>
      <c r="E129" s="57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 ht="15.75" x14ac:dyDescent="0.25">
      <c r="D130" s="1"/>
      <c r="E130" s="57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 ht="15.75" x14ac:dyDescent="0.25">
      <c r="D131" s="1"/>
      <c r="E131" s="57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 ht="15.75" x14ac:dyDescent="0.25">
      <c r="D132" s="1"/>
      <c r="E132" s="57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 ht="15.75" x14ac:dyDescent="0.25">
      <c r="D133" s="1"/>
      <c r="E133" s="57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 ht="15.75" x14ac:dyDescent="0.25">
      <c r="D134" s="1"/>
      <c r="E134" s="57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 ht="15.75" x14ac:dyDescent="0.25">
      <c r="D135" s="1"/>
      <c r="E135" s="57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 ht="15.75" x14ac:dyDescent="0.25">
      <c r="D136" s="1"/>
      <c r="E136" s="57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 ht="15.75" x14ac:dyDescent="0.25">
      <c r="D137" s="1"/>
      <c r="E137" s="57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 ht="15.75" x14ac:dyDescent="0.25">
      <c r="D138" s="1"/>
      <c r="E138" s="57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 ht="15.75" x14ac:dyDescent="0.25">
      <c r="D139" s="1"/>
      <c r="E139" s="57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 ht="15.75" x14ac:dyDescent="0.25">
      <c r="D140" s="1"/>
      <c r="E140" s="57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 ht="15.75" x14ac:dyDescent="0.25">
      <c r="D141" s="1"/>
      <c r="E141" s="57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 ht="15.75" x14ac:dyDescent="0.25">
      <c r="D142" s="1"/>
      <c r="E142" s="57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 ht="15.75" x14ac:dyDescent="0.25">
      <c r="D143" s="1"/>
      <c r="E143" s="57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 ht="15.75" x14ac:dyDescent="0.25">
      <c r="D144" s="1"/>
      <c r="E144" s="57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 ht="15.75" x14ac:dyDescent="0.25">
      <c r="D145" s="1"/>
      <c r="E145" s="57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 ht="15.75" x14ac:dyDescent="0.25">
      <c r="D146" s="1"/>
      <c r="E146" s="57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 ht="15.75" x14ac:dyDescent="0.25">
      <c r="D147" s="1"/>
      <c r="E147" s="57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 ht="15.75" x14ac:dyDescent="0.25">
      <c r="D148" s="1"/>
      <c r="E148" s="57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 ht="15.75" x14ac:dyDescent="0.25">
      <c r="D149" s="1"/>
      <c r="E149" s="57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 ht="15.75" x14ac:dyDescent="0.25">
      <c r="D150" s="1"/>
      <c r="E150" s="57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 ht="15.75" x14ac:dyDescent="0.25">
      <c r="D151" s="1"/>
      <c r="E151" s="57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 ht="15.75" x14ac:dyDescent="0.25">
      <c r="D152" s="1"/>
      <c r="E152" s="57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 ht="15.75" x14ac:dyDescent="0.25">
      <c r="D153" s="1"/>
      <c r="E153" s="57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 ht="15.75" x14ac:dyDescent="0.25">
      <c r="D154" s="1"/>
      <c r="E154" s="57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 x14ac:dyDescent="0.25">
      <c r="E155" s="36"/>
    </row>
    <row r="156" spans="4:27" x14ac:dyDescent="0.25">
      <c r="E156" s="36"/>
    </row>
    <row r="157" spans="4:27" x14ac:dyDescent="0.25">
      <c r="E157" s="36"/>
    </row>
    <row r="158" spans="4:27" x14ac:dyDescent="0.25">
      <c r="E158" s="36"/>
    </row>
    <row r="159" spans="4:27" x14ac:dyDescent="0.25">
      <c r="E159" s="36"/>
    </row>
    <row r="160" spans="4:27" x14ac:dyDescent="0.25">
      <c r="E160" s="36"/>
    </row>
    <row r="161" spans="5:5" x14ac:dyDescent="0.25">
      <c r="E161" s="36"/>
    </row>
    <row r="162" spans="5:5" x14ac:dyDescent="0.25">
      <c r="E162" s="36"/>
    </row>
    <row r="163" spans="5:5" x14ac:dyDescent="0.25">
      <c r="E163" s="36"/>
    </row>
    <row r="164" spans="5:5" x14ac:dyDescent="0.25">
      <c r="E164" s="36"/>
    </row>
    <row r="165" spans="5:5" x14ac:dyDescent="0.25">
      <c r="E165" s="36"/>
    </row>
    <row r="166" spans="5:5" x14ac:dyDescent="0.25">
      <c r="E166" s="36"/>
    </row>
    <row r="167" spans="5:5" x14ac:dyDescent="0.25">
      <c r="E167" s="36"/>
    </row>
    <row r="168" spans="5:5" x14ac:dyDescent="0.25">
      <c r="E168" s="36"/>
    </row>
    <row r="169" spans="5:5" x14ac:dyDescent="0.25">
      <c r="E169" s="36"/>
    </row>
    <row r="170" spans="5:5" x14ac:dyDescent="0.25">
      <c r="E170" s="36"/>
    </row>
    <row r="171" spans="5:5" x14ac:dyDescent="0.25">
      <c r="E171" s="36"/>
    </row>
    <row r="172" spans="5:5" x14ac:dyDescent="0.25">
      <c r="E172" s="36"/>
    </row>
    <row r="173" spans="5:5" x14ac:dyDescent="0.25">
      <c r="E173" s="36"/>
    </row>
    <row r="174" spans="5:5" x14ac:dyDescent="0.25">
      <c r="E174" s="36"/>
    </row>
    <row r="175" spans="5:5" x14ac:dyDescent="0.25">
      <c r="E175" s="36"/>
    </row>
    <row r="176" spans="5:5" x14ac:dyDescent="0.25">
      <c r="E176" s="36"/>
    </row>
    <row r="177" spans="5:5" x14ac:dyDescent="0.25">
      <c r="E177" s="36"/>
    </row>
    <row r="178" spans="5:5" x14ac:dyDescent="0.25">
      <c r="E178" s="36"/>
    </row>
    <row r="179" spans="5:5" x14ac:dyDescent="0.25">
      <c r="E179" s="36"/>
    </row>
    <row r="180" spans="5:5" x14ac:dyDescent="0.25">
      <c r="E180" s="36"/>
    </row>
    <row r="181" spans="5:5" x14ac:dyDescent="0.25">
      <c r="E181" s="36"/>
    </row>
    <row r="182" spans="5:5" x14ac:dyDescent="0.25">
      <c r="E182" s="36"/>
    </row>
    <row r="183" spans="5:5" x14ac:dyDescent="0.25">
      <c r="E183" s="36"/>
    </row>
    <row r="184" spans="5:5" x14ac:dyDescent="0.25">
      <c r="E184" s="36"/>
    </row>
    <row r="185" spans="5:5" x14ac:dyDescent="0.25">
      <c r="E185" s="36"/>
    </row>
    <row r="186" spans="5:5" x14ac:dyDescent="0.25">
      <c r="E186" s="36"/>
    </row>
    <row r="187" spans="5:5" x14ac:dyDescent="0.25">
      <c r="E187" s="36"/>
    </row>
    <row r="188" spans="5:5" x14ac:dyDescent="0.25">
      <c r="E188" s="36"/>
    </row>
    <row r="189" spans="5:5" x14ac:dyDescent="0.25">
      <c r="E189" s="36"/>
    </row>
    <row r="190" spans="5:5" x14ac:dyDescent="0.25">
      <c r="E190" s="36"/>
    </row>
    <row r="191" spans="5:5" x14ac:dyDescent="0.25">
      <c r="E191" s="36"/>
    </row>
    <row r="192" spans="5:5" x14ac:dyDescent="0.25">
      <c r="E192" s="36"/>
    </row>
    <row r="193" spans="5:5" x14ac:dyDescent="0.25">
      <c r="E193" s="36"/>
    </row>
    <row r="194" spans="5:5" x14ac:dyDescent="0.25">
      <c r="E194" s="36"/>
    </row>
    <row r="195" spans="5:5" x14ac:dyDescent="0.25">
      <c r="E195" s="36"/>
    </row>
    <row r="196" spans="5:5" x14ac:dyDescent="0.25">
      <c r="E196" s="36"/>
    </row>
    <row r="197" spans="5:5" x14ac:dyDescent="0.25">
      <c r="E197" s="36"/>
    </row>
    <row r="198" spans="5:5" x14ac:dyDescent="0.25">
      <c r="E198" s="36"/>
    </row>
    <row r="199" spans="5:5" x14ac:dyDescent="0.25">
      <c r="E199" s="36"/>
    </row>
    <row r="200" spans="5:5" x14ac:dyDescent="0.25">
      <c r="E200" s="36"/>
    </row>
    <row r="201" spans="5:5" x14ac:dyDescent="0.25">
      <c r="E201" s="36"/>
    </row>
    <row r="202" spans="5:5" x14ac:dyDescent="0.25">
      <c r="E202" s="36"/>
    </row>
    <row r="203" spans="5:5" x14ac:dyDescent="0.25">
      <c r="E203" s="36"/>
    </row>
    <row r="204" spans="5:5" x14ac:dyDescent="0.25">
      <c r="E204" s="36"/>
    </row>
    <row r="205" spans="5:5" x14ac:dyDescent="0.25">
      <c r="E205" s="36"/>
    </row>
    <row r="206" spans="5:5" x14ac:dyDescent="0.25">
      <c r="E206" s="36"/>
    </row>
    <row r="207" spans="5:5" x14ac:dyDescent="0.25">
      <c r="E207" s="36"/>
    </row>
    <row r="208" spans="5:5" x14ac:dyDescent="0.25">
      <c r="E208" s="36"/>
    </row>
    <row r="209" spans="5:5" x14ac:dyDescent="0.25">
      <c r="E209" s="36"/>
    </row>
    <row r="210" spans="5:5" x14ac:dyDescent="0.25">
      <c r="E210" s="36"/>
    </row>
    <row r="211" spans="5:5" x14ac:dyDescent="0.25">
      <c r="E211" s="36"/>
    </row>
    <row r="212" spans="5:5" x14ac:dyDescent="0.25">
      <c r="E212" s="36"/>
    </row>
    <row r="213" spans="5:5" x14ac:dyDescent="0.25">
      <c r="E213" s="36"/>
    </row>
    <row r="214" spans="5:5" x14ac:dyDescent="0.25">
      <c r="E214" s="36"/>
    </row>
    <row r="215" spans="5:5" x14ac:dyDescent="0.25">
      <c r="E215" s="36"/>
    </row>
    <row r="216" spans="5:5" x14ac:dyDescent="0.25">
      <c r="E216" s="36"/>
    </row>
    <row r="217" spans="5:5" x14ac:dyDescent="0.25">
      <c r="E217" s="36"/>
    </row>
    <row r="218" spans="5:5" x14ac:dyDescent="0.25">
      <c r="E218" s="36"/>
    </row>
    <row r="219" spans="5:5" x14ac:dyDescent="0.25">
      <c r="E219" s="36"/>
    </row>
    <row r="220" spans="5:5" x14ac:dyDescent="0.25">
      <c r="E220" s="36"/>
    </row>
    <row r="221" spans="5:5" x14ac:dyDescent="0.25">
      <c r="E221" s="36"/>
    </row>
    <row r="222" spans="5:5" x14ac:dyDescent="0.25">
      <c r="E222" s="36"/>
    </row>
    <row r="223" spans="5:5" x14ac:dyDescent="0.25">
      <c r="E223" s="36"/>
    </row>
    <row r="224" spans="5:5" x14ac:dyDescent="0.25">
      <c r="E224" s="36"/>
    </row>
    <row r="225" spans="5:5" x14ac:dyDescent="0.25">
      <c r="E225" s="36"/>
    </row>
    <row r="226" spans="5:5" x14ac:dyDescent="0.25">
      <c r="E226" s="36"/>
    </row>
    <row r="227" spans="5:5" x14ac:dyDescent="0.25">
      <c r="E227" s="36"/>
    </row>
    <row r="228" spans="5:5" x14ac:dyDescent="0.25">
      <c r="E228" s="36"/>
    </row>
    <row r="229" spans="5:5" x14ac:dyDescent="0.25">
      <c r="E229" s="36"/>
    </row>
    <row r="230" spans="5:5" x14ac:dyDescent="0.25">
      <c r="E230" s="36"/>
    </row>
    <row r="231" spans="5:5" x14ac:dyDescent="0.25">
      <c r="E231" s="36"/>
    </row>
    <row r="232" spans="5:5" x14ac:dyDescent="0.25">
      <c r="E232" s="36"/>
    </row>
    <row r="233" spans="5:5" x14ac:dyDescent="0.25">
      <c r="E233" s="36"/>
    </row>
    <row r="234" spans="5:5" x14ac:dyDescent="0.25">
      <c r="E234" s="36"/>
    </row>
    <row r="235" spans="5:5" x14ac:dyDescent="0.25">
      <c r="E235" s="36"/>
    </row>
    <row r="236" spans="5:5" x14ac:dyDescent="0.25">
      <c r="E236" s="36"/>
    </row>
    <row r="237" spans="5:5" x14ac:dyDescent="0.25">
      <c r="E237" s="36"/>
    </row>
    <row r="238" spans="5:5" x14ac:dyDescent="0.25">
      <c r="E238" s="36"/>
    </row>
    <row r="239" spans="5:5" x14ac:dyDescent="0.25">
      <c r="E239" s="36"/>
    </row>
    <row r="240" spans="5:5" x14ac:dyDescent="0.25">
      <c r="E240" s="36"/>
    </row>
    <row r="241" spans="5:5" x14ac:dyDescent="0.25">
      <c r="E241" s="36"/>
    </row>
    <row r="242" spans="5:5" x14ac:dyDescent="0.25">
      <c r="E242" s="36"/>
    </row>
    <row r="243" spans="5:5" x14ac:dyDescent="0.25">
      <c r="E243" s="36"/>
    </row>
    <row r="244" spans="5:5" x14ac:dyDescent="0.25">
      <c r="E244" s="36"/>
    </row>
    <row r="245" spans="5:5" x14ac:dyDescent="0.25">
      <c r="E245" s="36"/>
    </row>
    <row r="246" spans="5:5" x14ac:dyDescent="0.25">
      <c r="E246" s="36"/>
    </row>
    <row r="247" spans="5:5" x14ac:dyDescent="0.25">
      <c r="E247" s="36"/>
    </row>
    <row r="248" spans="5:5" x14ac:dyDescent="0.25">
      <c r="E248" s="36"/>
    </row>
    <row r="249" spans="5:5" x14ac:dyDescent="0.25">
      <c r="E249" s="36"/>
    </row>
    <row r="250" spans="5:5" x14ac:dyDescent="0.25">
      <c r="E250" s="36"/>
    </row>
    <row r="251" spans="5:5" x14ac:dyDescent="0.25">
      <c r="E251" s="36"/>
    </row>
    <row r="252" spans="5:5" x14ac:dyDescent="0.25">
      <c r="E252" s="36"/>
    </row>
    <row r="253" spans="5:5" x14ac:dyDescent="0.25">
      <c r="E253" s="36"/>
    </row>
    <row r="254" spans="5:5" x14ac:dyDescent="0.25">
      <c r="E254" s="36"/>
    </row>
    <row r="255" spans="5:5" x14ac:dyDescent="0.25">
      <c r="E255" s="36"/>
    </row>
    <row r="256" spans="5:5" x14ac:dyDescent="0.25">
      <c r="E256" s="36"/>
    </row>
    <row r="257" spans="5:5" x14ac:dyDescent="0.25">
      <c r="E257" s="36"/>
    </row>
    <row r="258" spans="5:5" x14ac:dyDescent="0.25">
      <c r="E258" s="36"/>
    </row>
    <row r="259" spans="5:5" x14ac:dyDescent="0.25">
      <c r="E259" s="36"/>
    </row>
    <row r="260" spans="5:5" x14ac:dyDescent="0.25">
      <c r="E260" s="36"/>
    </row>
    <row r="261" spans="5:5" x14ac:dyDescent="0.25">
      <c r="E261" s="36"/>
    </row>
    <row r="262" spans="5:5" x14ac:dyDescent="0.25">
      <c r="E262" s="36"/>
    </row>
    <row r="263" spans="5:5" x14ac:dyDescent="0.25">
      <c r="E263" s="36"/>
    </row>
    <row r="264" spans="5:5" x14ac:dyDescent="0.25">
      <c r="E264" s="36"/>
    </row>
    <row r="265" spans="5:5" x14ac:dyDescent="0.25">
      <c r="E265" s="36"/>
    </row>
    <row r="266" spans="5:5" x14ac:dyDescent="0.25">
      <c r="E266" s="36"/>
    </row>
    <row r="267" spans="5:5" x14ac:dyDescent="0.25">
      <c r="E267" s="36"/>
    </row>
    <row r="268" spans="5:5" x14ac:dyDescent="0.25">
      <c r="E268" s="36"/>
    </row>
    <row r="269" spans="5:5" x14ac:dyDescent="0.25">
      <c r="E269" s="36"/>
    </row>
    <row r="270" spans="5:5" x14ac:dyDescent="0.25">
      <c r="E270" s="36"/>
    </row>
    <row r="271" spans="5:5" x14ac:dyDescent="0.25">
      <c r="E271" s="36"/>
    </row>
    <row r="272" spans="5:5" x14ac:dyDescent="0.25">
      <c r="E272" s="36"/>
    </row>
    <row r="273" spans="5:5" x14ac:dyDescent="0.25">
      <c r="E273" s="36"/>
    </row>
    <row r="274" spans="5:5" x14ac:dyDescent="0.25">
      <c r="E274" s="36"/>
    </row>
    <row r="275" spans="5:5" x14ac:dyDescent="0.25">
      <c r="E275" s="36"/>
    </row>
    <row r="276" spans="5:5" x14ac:dyDescent="0.25">
      <c r="E276" s="36"/>
    </row>
    <row r="277" spans="5:5" x14ac:dyDescent="0.25">
      <c r="E277" s="36"/>
    </row>
    <row r="278" spans="5:5" x14ac:dyDescent="0.25">
      <c r="E278" s="36"/>
    </row>
    <row r="279" spans="5:5" x14ac:dyDescent="0.25">
      <c r="E279" s="36"/>
    </row>
    <row r="280" spans="5:5" x14ac:dyDescent="0.25">
      <c r="E280" s="36"/>
    </row>
    <row r="281" spans="5:5" x14ac:dyDescent="0.25">
      <c r="E281" s="36"/>
    </row>
    <row r="282" spans="5:5" x14ac:dyDescent="0.25">
      <c r="E282" s="36"/>
    </row>
    <row r="283" spans="5:5" x14ac:dyDescent="0.25">
      <c r="E283" s="36"/>
    </row>
    <row r="284" spans="5:5" x14ac:dyDescent="0.25">
      <c r="E284" s="36"/>
    </row>
    <row r="285" spans="5:5" x14ac:dyDescent="0.25">
      <c r="E285" s="36"/>
    </row>
    <row r="286" spans="5:5" x14ac:dyDescent="0.25">
      <c r="E286" s="36"/>
    </row>
    <row r="287" spans="5:5" x14ac:dyDescent="0.25">
      <c r="E287" s="36"/>
    </row>
    <row r="288" spans="5:5" x14ac:dyDescent="0.25">
      <c r="E288" s="36"/>
    </row>
    <row r="289" spans="5:5" x14ac:dyDescent="0.25">
      <c r="E289" s="36"/>
    </row>
    <row r="290" spans="5:5" x14ac:dyDescent="0.25">
      <c r="E290" s="36"/>
    </row>
    <row r="291" spans="5:5" x14ac:dyDescent="0.25">
      <c r="E291" s="36"/>
    </row>
    <row r="292" spans="5:5" x14ac:dyDescent="0.25">
      <c r="E292" s="36"/>
    </row>
    <row r="293" spans="5:5" x14ac:dyDescent="0.25">
      <c r="E293" s="36"/>
    </row>
    <row r="294" spans="5:5" x14ac:dyDescent="0.25">
      <c r="E294" s="36"/>
    </row>
    <row r="295" spans="5:5" x14ac:dyDescent="0.25">
      <c r="E295" s="36"/>
    </row>
    <row r="296" spans="5:5" x14ac:dyDescent="0.25">
      <c r="E296" s="36"/>
    </row>
    <row r="297" spans="5:5" x14ac:dyDescent="0.25">
      <c r="E297" s="36"/>
    </row>
    <row r="298" spans="5:5" x14ac:dyDescent="0.25">
      <c r="E298" s="36"/>
    </row>
    <row r="299" spans="5:5" x14ac:dyDescent="0.25">
      <c r="E299" s="36"/>
    </row>
    <row r="300" spans="5:5" x14ac:dyDescent="0.25">
      <c r="E300" s="36"/>
    </row>
    <row r="301" spans="5:5" x14ac:dyDescent="0.25">
      <c r="E301" s="36"/>
    </row>
    <row r="302" spans="5:5" x14ac:dyDescent="0.25">
      <c r="E302" s="36"/>
    </row>
    <row r="303" spans="5:5" x14ac:dyDescent="0.25">
      <c r="E303" s="36"/>
    </row>
    <row r="304" spans="5:5" x14ac:dyDescent="0.25">
      <c r="E304" s="36"/>
    </row>
    <row r="305" spans="5:5" x14ac:dyDescent="0.25">
      <c r="E305" s="36"/>
    </row>
    <row r="306" spans="5:5" x14ac:dyDescent="0.25">
      <c r="E306" s="36"/>
    </row>
    <row r="307" spans="5:5" x14ac:dyDescent="0.25">
      <c r="E307" s="36"/>
    </row>
    <row r="308" spans="5:5" x14ac:dyDescent="0.25">
      <c r="E308" s="36"/>
    </row>
    <row r="309" spans="5:5" x14ac:dyDescent="0.25">
      <c r="E309" s="36"/>
    </row>
    <row r="310" spans="5:5" x14ac:dyDescent="0.25">
      <c r="E310" s="36"/>
    </row>
    <row r="311" spans="5:5" x14ac:dyDescent="0.25">
      <c r="E311" s="36"/>
    </row>
    <row r="312" spans="5:5" x14ac:dyDescent="0.25">
      <c r="E312" s="36"/>
    </row>
    <row r="313" spans="5:5" x14ac:dyDescent="0.25">
      <c r="E313" s="36"/>
    </row>
    <row r="314" spans="5:5" x14ac:dyDescent="0.25">
      <c r="E314" s="36"/>
    </row>
    <row r="315" spans="5:5" x14ac:dyDescent="0.25">
      <c r="E315" s="36"/>
    </row>
    <row r="316" spans="5:5" x14ac:dyDescent="0.25">
      <c r="E316" s="36"/>
    </row>
    <row r="317" spans="5:5" x14ac:dyDescent="0.25">
      <c r="E317" s="36"/>
    </row>
    <row r="318" spans="5:5" x14ac:dyDescent="0.25">
      <c r="E318" s="36"/>
    </row>
    <row r="319" spans="5:5" x14ac:dyDescent="0.25">
      <c r="E319" s="36"/>
    </row>
    <row r="320" spans="5:5" x14ac:dyDescent="0.25">
      <c r="E320" s="36"/>
    </row>
    <row r="321" spans="5:5" x14ac:dyDescent="0.25">
      <c r="E321" s="36"/>
    </row>
    <row r="322" spans="5:5" x14ac:dyDescent="0.25">
      <c r="E322" s="36"/>
    </row>
    <row r="323" spans="5:5" x14ac:dyDescent="0.25">
      <c r="E323" s="36"/>
    </row>
    <row r="324" spans="5:5" x14ac:dyDescent="0.25">
      <c r="E324" s="36"/>
    </row>
    <row r="325" spans="5:5" x14ac:dyDescent="0.25">
      <c r="E325" s="36"/>
    </row>
    <row r="326" spans="5:5" x14ac:dyDescent="0.25">
      <c r="E326" s="36"/>
    </row>
    <row r="327" spans="5:5" x14ac:dyDescent="0.25">
      <c r="E327" s="36"/>
    </row>
    <row r="328" spans="5:5" x14ac:dyDescent="0.25">
      <c r="E328" s="36"/>
    </row>
    <row r="329" spans="5:5" x14ac:dyDescent="0.25">
      <c r="E329" s="36"/>
    </row>
    <row r="330" spans="5:5" x14ac:dyDescent="0.25">
      <c r="E330" s="36"/>
    </row>
    <row r="331" spans="5:5" x14ac:dyDescent="0.25">
      <c r="E331" s="36"/>
    </row>
    <row r="332" spans="5:5" x14ac:dyDescent="0.25">
      <c r="E332" s="36"/>
    </row>
    <row r="333" spans="5:5" x14ac:dyDescent="0.25">
      <c r="E333" s="36"/>
    </row>
    <row r="334" spans="5:5" x14ac:dyDescent="0.25">
      <c r="E334" s="36"/>
    </row>
    <row r="335" spans="5:5" x14ac:dyDescent="0.25">
      <c r="E335" s="36"/>
    </row>
    <row r="336" spans="5:5" x14ac:dyDescent="0.25">
      <c r="E336" s="36"/>
    </row>
    <row r="337" spans="5:5" x14ac:dyDescent="0.25">
      <c r="E337" s="36"/>
    </row>
    <row r="338" spans="5:5" x14ac:dyDescent="0.25">
      <c r="E338" s="36"/>
    </row>
    <row r="339" spans="5:5" x14ac:dyDescent="0.25">
      <c r="E339" s="36"/>
    </row>
    <row r="340" spans="5:5" x14ac:dyDescent="0.25">
      <c r="E340" s="36"/>
    </row>
    <row r="341" spans="5:5" x14ac:dyDescent="0.25">
      <c r="E341" s="36"/>
    </row>
    <row r="342" spans="5:5" x14ac:dyDescent="0.25">
      <c r="E342" s="36"/>
    </row>
    <row r="343" spans="5:5" x14ac:dyDescent="0.25">
      <c r="E343" s="36"/>
    </row>
    <row r="344" spans="5:5" x14ac:dyDescent="0.25">
      <c r="E344" s="36"/>
    </row>
    <row r="345" spans="5:5" x14ac:dyDescent="0.25">
      <c r="E345" s="36"/>
    </row>
    <row r="346" spans="5:5" x14ac:dyDescent="0.25">
      <c r="E346" s="36"/>
    </row>
    <row r="347" spans="5:5" x14ac:dyDescent="0.25">
      <c r="E347" s="36"/>
    </row>
    <row r="348" spans="5:5" x14ac:dyDescent="0.25">
      <c r="E348" s="36"/>
    </row>
    <row r="349" spans="5:5" x14ac:dyDescent="0.25">
      <c r="E349" s="36"/>
    </row>
    <row r="350" spans="5:5" x14ac:dyDescent="0.25">
      <c r="E350" s="36"/>
    </row>
    <row r="351" spans="5:5" x14ac:dyDescent="0.25">
      <c r="E351" s="36"/>
    </row>
    <row r="352" spans="5:5" x14ac:dyDescent="0.25">
      <c r="E352" s="36"/>
    </row>
    <row r="353" spans="5:5" x14ac:dyDescent="0.25">
      <c r="E353" s="36"/>
    </row>
    <row r="354" spans="5:5" x14ac:dyDescent="0.25">
      <c r="E354" s="36"/>
    </row>
    <row r="355" spans="5:5" x14ac:dyDescent="0.25">
      <c r="E355" s="36"/>
    </row>
    <row r="356" spans="5:5" x14ac:dyDescent="0.25">
      <c r="E356" s="36"/>
    </row>
    <row r="357" spans="5:5" x14ac:dyDescent="0.25">
      <c r="E357" s="36"/>
    </row>
    <row r="358" spans="5:5" x14ac:dyDescent="0.25">
      <c r="E358" s="36"/>
    </row>
    <row r="359" spans="5:5" x14ac:dyDescent="0.25">
      <c r="E359" s="36"/>
    </row>
    <row r="360" spans="5:5" x14ac:dyDescent="0.25">
      <c r="E360" s="36"/>
    </row>
    <row r="361" spans="5:5" x14ac:dyDescent="0.25">
      <c r="E361" s="36"/>
    </row>
    <row r="362" spans="5:5" x14ac:dyDescent="0.25">
      <c r="E362" s="36"/>
    </row>
    <row r="363" spans="5:5" x14ac:dyDescent="0.25">
      <c r="E363" s="36"/>
    </row>
    <row r="364" spans="5:5" x14ac:dyDescent="0.25">
      <c r="E364" s="36"/>
    </row>
    <row r="365" spans="5:5" x14ac:dyDescent="0.25">
      <c r="E365" s="36"/>
    </row>
    <row r="366" spans="5:5" x14ac:dyDescent="0.25">
      <c r="E366" s="36"/>
    </row>
    <row r="367" spans="5:5" x14ac:dyDescent="0.25">
      <c r="E367" s="36"/>
    </row>
    <row r="368" spans="5:5" x14ac:dyDescent="0.25">
      <c r="E368" s="36"/>
    </row>
    <row r="369" spans="5:5" x14ac:dyDescent="0.25">
      <c r="E369" s="36"/>
    </row>
    <row r="370" spans="5:5" x14ac:dyDescent="0.25">
      <c r="E370" s="36"/>
    </row>
    <row r="371" spans="5:5" x14ac:dyDescent="0.25">
      <c r="E371" s="36"/>
    </row>
    <row r="372" spans="5:5" x14ac:dyDescent="0.25">
      <c r="E372" s="36"/>
    </row>
    <row r="373" spans="5:5" x14ac:dyDescent="0.25">
      <c r="E373" s="36"/>
    </row>
    <row r="374" spans="5:5" x14ac:dyDescent="0.25">
      <c r="E374" s="36"/>
    </row>
    <row r="375" spans="5:5" x14ac:dyDescent="0.25">
      <c r="E375" s="36"/>
    </row>
    <row r="376" spans="5:5" x14ac:dyDescent="0.25">
      <c r="E376" s="36"/>
    </row>
    <row r="377" spans="5:5" x14ac:dyDescent="0.25">
      <c r="E377" s="36"/>
    </row>
    <row r="378" spans="5:5" x14ac:dyDescent="0.25">
      <c r="E378" s="36"/>
    </row>
    <row r="379" spans="5:5" x14ac:dyDescent="0.25">
      <c r="E379" s="36"/>
    </row>
    <row r="380" spans="5:5" x14ac:dyDescent="0.25">
      <c r="E380" s="36"/>
    </row>
    <row r="381" spans="5:5" x14ac:dyDescent="0.25">
      <c r="E381" s="36"/>
    </row>
    <row r="382" spans="5:5" x14ac:dyDescent="0.25">
      <c r="E382" s="36"/>
    </row>
    <row r="383" spans="5:5" x14ac:dyDescent="0.25">
      <c r="E383" s="36"/>
    </row>
    <row r="384" spans="5:5" x14ac:dyDescent="0.25">
      <c r="E384" s="36"/>
    </row>
    <row r="385" spans="5:5" x14ac:dyDescent="0.25">
      <c r="E385" s="36"/>
    </row>
    <row r="386" spans="5:5" x14ac:dyDescent="0.25">
      <c r="E386" s="36"/>
    </row>
    <row r="387" spans="5:5" x14ac:dyDescent="0.25">
      <c r="E387" s="36"/>
    </row>
    <row r="388" spans="5:5" x14ac:dyDescent="0.25">
      <c r="E388" s="36"/>
    </row>
    <row r="389" spans="5:5" x14ac:dyDescent="0.25">
      <c r="E389" s="36"/>
    </row>
    <row r="390" spans="5:5" x14ac:dyDescent="0.25">
      <c r="E390" s="36"/>
    </row>
    <row r="391" spans="5:5" x14ac:dyDescent="0.25">
      <c r="E391" s="36"/>
    </row>
    <row r="392" spans="5:5" x14ac:dyDescent="0.25">
      <c r="E392" s="36"/>
    </row>
    <row r="393" spans="5:5" x14ac:dyDescent="0.25">
      <c r="E393" s="36"/>
    </row>
    <row r="394" spans="5:5" x14ac:dyDescent="0.25">
      <c r="E394" s="36"/>
    </row>
    <row r="395" spans="5:5" x14ac:dyDescent="0.25">
      <c r="E395" s="36"/>
    </row>
    <row r="396" spans="5:5" x14ac:dyDescent="0.25">
      <c r="E396" s="36"/>
    </row>
    <row r="397" spans="5:5" x14ac:dyDescent="0.25">
      <c r="E397" s="36"/>
    </row>
    <row r="398" spans="5:5" x14ac:dyDescent="0.25">
      <c r="E398" s="36"/>
    </row>
    <row r="399" spans="5:5" x14ac:dyDescent="0.25">
      <c r="E399" s="36"/>
    </row>
    <row r="400" spans="5:5" x14ac:dyDescent="0.25">
      <c r="E400" s="36"/>
    </row>
    <row r="401" spans="5:5" x14ac:dyDescent="0.25">
      <c r="E401" s="36"/>
    </row>
    <row r="402" spans="5:5" x14ac:dyDescent="0.25">
      <c r="E402" s="36"/>
    </row>
    <row r="403" spans="5:5" x14ac:dyDescent="0.25">
      <c r="E403" s="36"/>
    </row>
    <row r="404" spans="5:5" x14ac:dyDescent="0.25">
      <c r="E404" s="36"/>
    </row>
    <row r="405" spans="5:5" x14ac:dyDescent="0.25">
      <c r="E405" s="36"/>
    </row>
    <row r="406" spans="5:5" x14ac:dyDescent="0.25">
      <c r="E406" s="36"/>
    </row>
    <row r="407" spans="5:5" x14ac:dyDescent="0.25">
      <c r="E407" s="36"/>
    </row>
    <row r="408" spans="5:5" x14ac:dyDescent="0.25">
      <c r="E408" s="36"/>
    </row>
    <row r="409" spans="5:5" x14ac:dyDescent="0.25">
      <c r="E409" s="36"/>
    </row>
    <row r="410" spans="5:5" x14ac:dyDescent="0.25">
      <c r="E410" s="36"/>
    </row>
    <row r="411" spans="5:5" x14ac:dyDescent="0.25">
      <c r="E411" s="36"/>
    </row>
    <row r="412" spans="5:5" x14ac:dyDescent="0.25">
      <c r="E412" s="36"/>
    </row>
    <row r="413" spans="5:5" x14ac:dyDescent="0.25">
      <c r="E413" s="36"/>
    </row>
    <row r="414" spans="5:5" x14ac:dyDescent="0.25">
      <c r="E414" s="36"/>
    </row>
    <row r="415" spans="5:5" x14ac:dyDescent="0.25">
      <c r="E415" s="36"/>
    </row>
    <row r="416" spans="5:5" x14ac:dyDescent="0.25">
      <c r="E416" s="36"/>
    </row>
    <row r="417" spans="5:5" x14ac:dyDescent="0.25">
      <c r="E417" s="36"/>
    </row>
    <row r="418" spans="5:5" x14ac:dyDescent="0.25">
      <c r="E418" s="36"/>
    </row>
    <row r="419" spans="5:5" x14ac:dyDescent="0.25">
      <c r="E419" s="36"/>
    </row>
    <row r="420" spans="5:5" x14ac:dyDescent="0.25">
      <c r="E420" s="36"/>
    </row>
    <row r="421" spans="5:5" x14ac:dyDescent="0.25">
      <c r="E421" s="36"/>
    </row>
    <row r="422" spans="5:5" x14ac:dyDescent="0.25">
      <c r="E422" s="36"/>
    </row>
    <row r="423" spans="5:5" x14ac:dyDescent="0.25">
      <c r="E423" s="36"/>
    </row>
    <row r="424" spans="5:5" x14ac:dyDescent="0.25">
      <c r="E424" s="36"/>
    </row>
    <row r="425" spans="5:5" x14ac:dyDescent="0.25">
      <c r="E425" s="36"/>
    </row>
    <row r="426" spans="5:5" x14ac:dyDescent="0.25">
      <c r="E426" s="36"/>
    </row>
    <row r="427" spans="5:5" x14ac:dyDescent="0.25">
      <c r="E427" s="36"/>
    </row>
    <row r="428" spans="5:5" x14ac:dyDescent="0.25">
      <c r="E428" s="36"/>
    </row>
    <row r="429" spans="5:5" x14ac:dyDescent="0.25">
      <c r="E429" s="36"/>
    </row>
    <row r="430" spans="5:5" x14ac:dyDescent="0.25">
      <c r="E430" s="36"/>
    </row>
    <row r="431" spans="5:5" x14ac:dyDescent="0.25">
      <c r="E431" s="36"/>
    </row>
    <row r="432" spans="5:5" x14ac:dyDescent="0.25">
      <c r="E432" s="36"/>
    </row>
    <row r="433" spans="5:5" x14ac:dyDescent="0.25">
      <c r="E433" s="36"/>
    </row>
    <row r="434" spans="5:5" x14ac:dyDescent="0.25">
      <c r="E434" s="36"/>
    </row>
    <row r="435" spans="5:5" x14ac:dyDescent="0.25">
      <c r="E435" s="36"/>
    </row>
    <row r="436" spans="5:5" x14ac:dyDescent="0.25">
      <c r="E436" s="36"/>
    </row>
    <row r="437" spans="5:5" x14ac:dyDescent="0.25">
      <c r="E437" s="36"/>
    </row>
    <row r="438" spans="5:5" x14ac:dyDescent="0.25">
      <c r="E438" s="36"/>
    </row>
    <row r="439" spans="5:5" x14ac:dyDescent="0.25">
      <c r="E439" s="36"/>
    </row>
    <row r="440" spans="5:5" x14ac:dyDescent="0.25">
      <c r="E440" s="36"/>
    </row>
    <row r="441" spans="5:5" x14ac:dyDescent="0.25">
      <c r="E441" s="36"/>
    </row>
    <row r="442" spans="5:5" x14ac:dyDescent="0.25">
      <c r="E442" s="36"/>
    </row>
    <row r="443" spans="5:5" x14ac:dyDescent="0.25">
      <c r="E443" s="36"/>
    </row>
    <row r="444" spans="5:5" x14ac:dyDescent="0.25">
      <c r="E444" s="36"/>
    </row>
    <row r="445" spans="5:5" x14ac:dyDescent="0.25">
      <c r="E445" s="36"/>
    </row>
    <row r="446" spans="5:5" x14ac:dyDescent="0.25">
      <c r="E446" s="36"/>
    </row>
    <row r="447" spans="5:5" x14ac:dyDescent="0.25">
      <c r="E447" s="36"/>
    </row>
    <row r="448" spans="5:5" x14ac:dyDescent="0.25">
      <c r="E448" s="36"/>
    </row>
    <row r="449" spans="5:5" x14ac:dyDescent="0.25">
      <c r="E449" s="36"/>
    </row>
    <row r="450" spans="5:5" x14ac:dyDescent="0.25">
      <c r="E450" s="36"/>
    </row>
    <row r="451" spans="5:5" x14ac:dyDescent="0.25">
      <c r="E451" s="36"/>
    </row>
    <row r="452" spans="5:5" x14ac:dyDescent="0.25">
      <c r="E452" s="36"/>
    </row>
    <row r="453" spans="5:5" x14ac:dyDescent="0.25">
      <c r="E453" s="36"/>
    </row>
    <row r="454" spans="5:5" x14ac:dyDescent="0.25">
      <c r="E454" s="36"/>
    </row>
    <row r="455" spans="5:5" x14ac:dyDescent="0.25">
      <c r="E455" s="36"/>
    </row>
    <row r="456" spans="5:5" x14ac:dyDescent="0.25">
      <c r="E456" s="36"/>
    </row>
    <row r="457" spans="5:5" x14ac:dyDescent="0.25">
      <c r="E457" s="36"/>
    </row>
    <row r="458" spans="5:5" x14ac:dyDescent="0.25">
      <c r="E458" s="36"/>
    </row>
    <row r="459" spans="5:5" x14ac:dyDescent="0.25">
      <c r="E459" s="36"/>
    </row>
    <row r="460" spans="5:5" x14ac:dyDescent="0.25">
      <c r="E460" s="36"/>
    </row>
    <row r="461" spans="5:5" x14ac:dyDescent="0.25">
      <c r="E461" s="36"/>
    </row>
    <row r="462" spans="5:5" x14ac:dyDescent="0.25">
      <c r="E462" s="36"/>
    </row>
    <row r="463" spans="5:5" x14ac:dyDescent="0.25">
      <c r="E463" s="36"/>
    </row>
    <row r="464" spans="5:5" x14ac:dyDescent="0.25">
      <c r="E464" s="36"/>
    </row>
    <row r="465" spans="5:5" x14ac:dyDescent="0.25">
      <c r="E465" s="36"/>
    </row>
    <row r="466" spans="5:5" x14ac:dyDescent="0.25">
      <c r="E466" s="36"/>
    </row>
    <row r="467" spans="5:5" x14ac:dyDescent="0.25">
      <c r="E467" s="36"/>
    </row>
    <row r="468" spans="5:5" x14ac:dyDescent="0.25">
      <c r="E468" s="36"/>
    </row>
    <row r="469" spans="5:5" x14ac:dyDescent="0.25">
      <c r="E469" s="36"/>
    </row>
    <row r="470" spans="5:5" x14ac:dyDescent="0.25">
      <c r="E470" s="36"/>
    </row>
    <row r="471" spans="5:5" x14ac:dyDescent="0.25">
      <c r="E471" s="36"/>
    </row>
    <row r="472" spans="5:5" x14ac:dyDescent="0.25">
      <c r="E472" s="36"/>
    </row>
    <row r="473" spans="5:5" x14ac:dyDescent="0.25">
      <c r="E473" s="36"/>
    </row>
    <row r="474" spans="5:5" x14ac:dyDescent="0.25">
      <c r="E474" s="36"/>
    </row>
    <row r="475" spans="5:5" x14ac:dyDescent="0.25">
      <c r="E475" s="36"/>
    </row>
    <row r="476" spans="5:5" x14ac:dyDescent="0.25">
      <c r="E476" s="36"/>
    </row>
    <row r="477" spans="5:5" x14ac:dyDescent="0.25">
      <c r="E477" s="36"/>
    </row>
    <row r="478" spans="5:5" x14ac:dyDescent="0.25">
      <c r="E478" s="36"/>
    </row>
    <row r="479" spans="5:5" x14ac:dyDescent="0.25">
      <c r="E479" s="36"/>
    </row>
    <row r="480" spans="5:5" x14ac:dyDescent="0.25">
      <c r="E480" s="36"/>
    </row>
    <row r="481" spans="5:5" x14ac:dyDescent="0.25">
      <c r="E481" s="36"/>
    </row>
    <row r="482" spans="5:5" x14ac:dyDescent="0.25">
      <c r="E482" s="36"/>
    </row>
    <row r="483" spans="5:5" x14ac:dyDescent="0.25">
      <c r="E483" s="36"/>
    </row>
    <row r="484" spans="5:5" x14ac:dyDescent="0.25">
      <c r="E484" s="36"/>
    </row>
    <row r="485" spans="5:5" x14ac:dyDescent="0.25">
      <c r="E485" s="36"/>
    </row>
    <row r="486" spans="5:5" x14ac:dyDescent="0.25">
      <c r="E486" s="36"/>
    </row>
    <row r="487" spans="5:5" x14ac:dyDescent="0.25">
      <c r="E487" s="36"/>
    </row>
    <row r="488" spans="5:5" x14ac:dyDescent="0.25">
      <c r="E488" s="36"/>
    </row>
    <row r="489" spans="5:5" x14ac:dyDescent="0.25">
      <c r="E489" s="36"/>
    </row>
    <row r="490" spans="5:5" x14ac:dyDescent="0.25">
      <c r="E490" s="36"/>
    </row>
    <row r="491" spans="5:5" x14ac:dyDescent="0.25">
      <c r="E491" s="36"/>
    </row>
    <row r="492" spans="5:5" x14ac:dyDescent="0.25">
      <c r="E492" s="36"/>
    </row>
    <row r="493" spans="5:5" x14ac:dyDescent="0.25">
      <c r="E493" s="36"/>
    </row>
    <row r="494" spans="5:5" x14ac:dyDescent="0.25">
      <c r="E494" s="36"/>
    </row>
    <row r="495" spans="5:5" x14ac:dyDescent="0.25">
      <c r="E495" s="36"/>
    </row>
    <row r="496" spans="5:5" x14ac:dyDescent="0.25">
      <c r="E496" s="36"/>
    </row>
    <row r="497" spans="5:5" x14ac:dyDescent="0.25">
      <c r="E497" s="36"/>
    </row>
    <row r="498" spans="5:5" x14ac:dyDescent="0.25">
      <c r="E498" s="36"/>
    </row>
    <row r="499" spans="5:5" x14ac:dyDescent="0.25">
      <c r="E499" s="36"/>
    </row>
    <row r="500" spans="5:5" x14ac:dyDescent="0.25">
      <c r="E500" s="36"/>
    </row>
    <row r="501" spans="5:5" x14ac:dyDescent="0.25">
      <c r="E501" s="36"/>
    </row>
    <row r="502" spans="5:5" x14ac:dyDescent="0.25">
      <c r="E502" s="36"/>
    </row>
    <row r="503" spans="5:5" x14ac:dyDescent="0.25">
      <c r="E503" s="36"/>
    </row>
    <row r="504" spans="5:5" x14ac:dyDescent="0.25">
      <c r="E504" s="36"/>
    </row>
    <row r="505" spans="5:5" x14ac:dyDescent="0.25">
      <c r="E505" s="36"/>
    </row>
    <row r="506" spans="5:5" x14ac:dyDescent="0.25">
      <c r="E506" s="36"/>
    </row>
    <row r="507" spans="5:5" x14ac:dyDescent="0.25">
      <c r="E507" s="36"/>
    </row>
    <row r="508" spans="5:5" x14ac:dyDescent="0.25">
      <c r="E508" s="36"/>
    </row>
    <row r="509" spans="5:5" x14ac:dyDescent="0.25">
      <c r="E509" s="36"/>
    </row>
    <row r="510" spans="5:5" x14ac:dyDescent="0.25">
      <c r="E510" s="36"/>
    </row>
    <row r="511" spans="5:5" x14ac:dyDescent="0.25">
      <c r="E511" s="36"/>
    </row>
    <row r="512" spans="5:5" x14ac:dyDescent="0.25">
      <c r="E512" s="36"/>
    </row>
    <row r="513" spans="5:5" x14ac:dyDescent="0.25">
      <c r="E513" s="36"/>
    </row>
    <row r="514" spans="5:5" x14ac:dyDescent="0.25">
      <c r="E514" s="36"/>
    </row>
    <row r="515" spans="5:5" x14ac:dyDescent="0.25">
      <c r="E515" s="36"/>
    </row>
    <row r="516" spans="5:5" x14ac:dyDescent="0.25">
      <c r="E516" s="36"/>
    </row>
    <row r="517" spans="5:5" x14ac:dyDescent="0.25">
      <c r="E517" s="36"/>
    </row>
    <row r="518" spans="5:5" x14ac:dyDescent="0.25">
      <c r="E518" s="36"/>
    </row>
    <row r="519" spans="5:5" x14ac:dyDescent="0.25">
      <c r="E519" s="36"/>
    </row>
    <row r="520" spans="5:5" x14ac:dyDescent="0.25">
      <c r="E520" s="36"/>
    </row>
    <row r="521" spans="5:5" x14ac:dyDescent="0.25">
      <c r="E521" s="36"/>
    </row>
    <row r="522" spans="5:5" x14ac:dyDescent="0.25">
      <c r="E522" s="36"/>
    </row>
    <row r="523" spans="5:5" x14ac:dyDescent="0.25">
      <c r="E523" s="36"/>
    </row>
    <row r="524" spans="5:5" x14ac:dyDescent="0.25">
      <c r="E524" s="36"/>
    </row>
    <row r="525" spans="5:5" x14ac:dyDescent="0.25">
      <c r="E525" s="36"/>
    </row>
    <row r="526" spans="5:5" x14ac:dyDescent="0.25">
      <c r="E526" s="36"/>
    </row>
    <row r="527" spans="5:5" x14ac:dyDescent="0.25">
      <c r="E527" s="36"/>
    </row>
    <row r="528" spans="5:5" x14ac:dyDescent="0.25">
      <c r="E528" s="36"/>
    </row>
    <row r="529" spans="5:5" x14ac:dyDescent="0.25">
      <c r="E529" s="36"/>
    </row>
    <row r="530" spans="5:5" x14ac:dyDescent="0.25">
      <c r="E530" s="36"/>
    </row>
    <row r="531" spans="5:5" x14ac:dyDescent="0.25">
      <c r="E531" s="36"/>
    </row>
    <row r="532" spans="5:5" x14ac:dyDescent="0.25">
      <c r="E532" s="36"/>
    </row>
    <row r="533" spans="5:5" x14ac:dyDescent="0.25">
      <c r="E533" s="36"/>
    </row>
    <row r="534" spans="5:5" x14ac:dyDescent="0.25">
      <c r="E534" s="36"/>
    </row>
    <row r="535" spans="5:5" x14ac:dyDescent="0.25">
      <c r="E535" s="36"/>
    </row>
    <row r="536" spans="5:5" x14ac:dyDescent="0.25">
      <c r="E536" s="36"/>
    </row>
    <row r="537" spans="5:5" x14ac:dyDescent="0.25">
      <c r="E537" s="36"/>
    </row>
    <row r="538" spans="5:5" x14ac:dyDescent="0.25">
      <c r="E538" s="36"/>
    </row>
    <row r="539" spans="5:5" x14ac:dyDescent="0.25">
      <c r="E539" s="36"/>
    </row>
    <row r="540" spans="5:5" x14ac:dyDescent="0.25">
      <c r="E540" s="36"/>
    </row>
    <row r="541" spans="5:5" x14ac:dyDescent="0.25">
      <c r="E541" s="36"/>
    </row>
    <row r="542" spans="5:5" x14ac:dyDescent="0.25">
      <c r="E542" s="36"/>
    </row>
    <row r="543" spans="5:5" x14ac:dyDescent="0.25">
      <c r="E543" s="36"/>
    </row>
    <row r="544" spans="5:5" x14ac:dyDescent="0.25">
      <c r="E544" s="36"/>
    </row>
    <row r="545" spans="5:5" x14ac:dyDescent="0.25">
      <c r="E545" s="36"/>
    </row>
    <row r="546" spans="5:5" x14ac:dyDescent="0.25">
      <c r="E546" s="36"/>
    </row>
    <row r="547" spans="5:5" x14ac:dyDescent="0.25">
      <c r="E547" s="36"/>
    </row>
    <row r="548" spans="5:5" x14ac:dyDescent="0.25">
      <c r="E548" s="36"/>
    </row>
    <row r="549" spans="5:5" x14ac:dyDescent="0.25">
      <c r="E549" s="36"/>
    </row>
    <row r="550" spans="5:5" x14ac:dyDescent="0.25">
      <c r="E550" s="36"/>
    </row>
    <row r="551" spans="5:5" x14ac:dyDescent="0.25">
      <c r="E551" s="36"/>
    </row>
    <row r="552" spans="5:5" x14ac:dyDescent="0.25">
      <c r="E552" s="36"/>
    </row>
    <row r="553" spans="5:5" x14ac:dyDescent="0.25">
      <c r="E553" s="36"/>
    </row>
    <row r="554" spans="5:5" x14ac:dyDescent="0.25">
      <c r="E554" s="36"/>
    </row>
    <row r="555" spans="5:5" x14ac:dyDescent="0.25">
      <c r="E555" s="36"/>
    </row>
    <row r="556" spans="5:5" x14ac:dyDescent="0.25">
      <c r="E556" s="36"/>
    </row>
    <row r="557" spans="5:5" x14ac:dyDescent="0.25">
      <c r="E557" s="36"/>
    </row>
    <row r="558" spans="5:5" x14ac:dyDescent="0.25">
      <c r="E558" s="36"/>
    </row>
    <row r="559" spans="5:5" x14ac:dyDescent="0.25">
      <c r="E559" s="36"/>
    </row>
    <row r="560" spans="5:5" x14ac:dyDescent="0.25">
      <c r="E560" s="36"/>
    </row>
    <row r="561" spans="5:5" x14ac:dyDescent="0.25">
      <c r="E561" s="36"/>
    </row>
    <row r="562" spans="5:5" x14ac:dyDescent="0.25">
      <c r="E562" s="36"/>
    </row>
    <row r="563" spans="5:5" x14ac:dyDescent="0.25">
      <c r="E563" s="36"/>
    </row>
    <row r="564" spans="5:5" x14ac:dyDescent="0.25">
      <c r="E564" s="36"/>
    </row>
    <row r="565" spans="5:5" x14ac:dyDescent="0.25">
      <c r="E565" s="36"/>
    </row>
    <row r="566" spans="5:5" x14ac:dyDescent="0.25">
      <c r="E566" s="36"/>
    </row>
    <row r="567" spans="5:5" x14ac:dyDescent="0.25">
      <c r="E567" s="36"/>
    </row>
    <row r="568" spans="5:5" x14ac:dyDescent="0.25">
      <c r="E568" s="36"/>
    </row>
    <row r="569" spans="5:5" x14ac:dyDescent="0.25">
      <c r="E569" s="36"/>
    </row>
    <row r="570" spans="5:5" x14ac:dyDescent="0.25">
      <c r="E570" s="36"/>
    </row>
    <row r="571" spans="5:5" x14ac:dyDescent="0.25">
      <c r="E571" s="36"/>
    </row>
    <row r="572" spans="5:5" x14ac:dyDescent="0.25">
      <c r="E572" s="36"/>
    </row>
    <row r="573" spans="5:5" x14ac:dyDescent="0.25">
      <c r="E573" s="36"/>
    </row>
    <row r="574" spans="5:5" x14ac:dyDescent="0.25">
      <c r="E574" s="36"/>
    </row>
    <row r="575" spans="5:5" x14ac:dyDescent="0.25">
      <c r="E575" s="36"/>
    </row>
    <row r="576" spans="5:5" x14ac:dyDescent="0.25">
      <c r="E576" s="36"/>
    </row>
    <row r="577" spans="5:5" x14ac:dyDescent="0.25">
      <c r="E577" s="36"/>
    </row>
    <row r="578" spans="5:5" x14ac:dyDescent="0.25">
      <c r="E578" s="36"/>
    </row>
    <row r="579" spans="5:5" x14ac:dyDescent="0.25">
      <c r="E579" s="36"/>
    </row>
    <row r="580" spans="5:5" x14ac:dyDescent="0.25">
      <c r="E580" s="36"/>
    </row>
    <row r="581" spans="5:5" x14ac:dyDescent="0.25">
      <c r="E581" s="36"/>
    </row>
    <row r="582" spans="5:5" x14ac:dyDescent="0.25">
      <c r="E582" s="36"/>
    </row>
    <row r="583" spans="5:5" x14ac:dyDescent="0.25">
      <c r="E583" s="36"/>
    </row>
    <row r="584" spans="5:5" x14ac:dyDescent="0.25">
      <c r="E584" s="36"/>
    </row>
    <row r="585" spans="5:5" x14ac:dyDescent="0.25">
      <c r="E585" s="36"/>
    </row>
    <row r="586" spans="5:5" x14ac:dyDescent="0.25">
      <c r="E586" s="36"/>
    </row>
    <row r="587" spans="5:5" x14ac:dyDescent="0.25">
      <c r="E587" s="36"/>
    </row>
    <row r="588" spans="5:5" x14ac:dyDescent="0.25">
      <c r="E588" s="36"/>
    </row>
    <row r="589" spans="5:5" x14ac:dyDescent="0.25">
      <c r="E589" s="36"/>
    </row>
    <row r="590" spans="5:5" x14ac:dyDescent="0.25">
      <c r="E590" s="36"/>
    </row>
    <row r="591" spans="5:5" x14ac:dyDescent="0.25">
      <c r="E591" s="36"/>
    </row>
    <row r="592" spans="5:5" x14ac:dyDescent="0.25">
      <c r="E592" s="36"/>
    </row>
    <row r="593" spans="5:5" x14ac:dyDescent="0.25">
      <c r="E593" s="36"/>
    </row>
    <row r="594" spans="5:5" x14ac:dyDescent="0.25">
      <c r="E594" s="36"/>
    </row>
    <row r="595" spans="5:5" x14ac:dyDescent="0.25">
      <c r="E595" s="36"/>
    </row>
    <row r="596" spans="5:5" x14ac:dyDescent="0.25">
      <c r="E596" s="36"/>
    </row>
    <row r="597" spans="5:5" x14ac:dyDescent="0.25">
      <c r="E597" s="36"/>
    </row>
    <row r="598" spans="5:5" x14ac:dyDescent="0.25">
      <c r="E598" s="36"/>
    </row>
    <row r="599" spans="5:5" x14ac:dyDescent="0.25">
      <c r="E599" s="36"/>
    </row>
    <row r="600" spans="5:5" x14ac:dyDescent="0.25">
      <c r="E600" s="36"/>
    </row>
    <row r="601" spans="5:5" x14ac:dyDescent="0.25">
      <c r="E601" s="36"/>
    </row>
    <row r="602" spans="5:5" x14ac:dyDescent="0.25">
      <c r="E602" s="36"/>
    </row>
    <row r="603" spans="5:5" x14ac:dyDescent="0.25">
      <c r="E603" s="36"/>
    </row>
    <row r="604" spans="5:5" x14ac:dyDescent="0.25">
      <c r="E604" s="36"/>
    </row>
    <row r="605" spans="5:5" x14ac:dyDescent="0.25">
      <c r="E605" s="36"/>
    </row>
    <row r="606" spans="5:5" x14ac:dyDescent="0.25">
      <c r="E606" s="36"/>
    </row>
    <row r="607" spans="5:5" x14ac:dyDescent="0.25">
      <c r="E607" s="36"/>
    </row>
    <row r="608" spans="5:5" x14ac:dyDescent="0.25">
      <c r="E608" s="36"/>
    </row>
    <row r="609" spans="5:5" x14ac:dyDescent="0.25">
      <c r="E609" s="36"/>
    </row>
    <row r="610" spans="5:5" x14ac:dyDescent="0.25">
      <c r="E610" s="36"/>
    </row>
    <row r="611" spans="5:5" x14ac:dyDescent="0.25">
      <c r="E611" s="36"/>
    </row>
    <row r="612" spans="5:5" x14ac:dyDescent="0.25">
      <c r="E612" s="36"/>
    </row>
    <row r="613" spans="5:5" x14ac:dyDescent="0.25">
      <c r="E613" s="36"/>
    </row>
    <row r="614" spans="5:5" x14ac:dyDescent="0.25">
      <c r="E614" s="36"/>
    </row>
    <row r="615" spans="5:5" x14ac:dyDescent="0.25">
      <c r="E615" s="36"/>
    </row>
    <row r="616" spans="5:5" x14ac:dyDescent="0.25">
      <c r="E616" s="36"/>
    </row>
    <row r="617" spans="5:5" x14ac:dyDescent="0.25">
      <c r="E617" s="36"/>
    </row>
    <row r="618" spans="5:5" x14ac:dyDescent="0.25">
      <c r="E618" s="36"/>
    </row>
    <row r="619" spans="5:5" x14ac:dyDescent="0.25">
      <c r="E619" s="36"/>
    </row>
    <row r="620" spans="5:5" x14ac:dyDescent="0.25">
      <c r="E620" s="36"/>
    </row>
    <row r="621" spans="5:5" x14ac:dyDescent="0.25">
      <c r="E621" s="36"/>
    </row>
    <row r="622" spans="5:5" x14ac:dyDescent="0.25">
      <c r="E622" s="36"/>
    </row>
    <row r="623" spans="5:5" x14ac:dyDescent="0.25">
      <c r="E623" s="36"/>
    </row>
    <row r="624" spans="5:5" x14ac:dyDescent="0.25">
      <c r="E624" s="36"/>
    </row>
    <row r="625" spans="5:5" x14ac:dyDescent="0.25">
      <c r="E625" s="36"/>
    </row>
    <row r="626" spans="5:5" x14ac:dyDescent="0.25">
      <c r="E626" s="36"/>
    </row>
    <row r="627" spans="5:5" x14ac:dyDescent="0.25">
      <c r="E627" s="36"/>
    </row>
    <row r="628" spans="5:5" x14ac:dyDescent="0.25">
      <c r="E628" s="36"/>
    </row>
    <row r="629" spans="5:5" x14ac:dyDescent="0.25">
      <c r="E629" s="36"/>
    </row>
    <row r="630" spans="5:5" x14ac:dyDescent="0.25">
      <c r="E630" s="36"/>
    </row>
    <row r="631" spans="5:5" x14ac:dyDescent="0.25">
      <c r="E631" s="36"/>
    </row>
    <row r="632" spans="5:5" x14ac:dyDescent="0.25">
      <c r="E632" s="36"/>
    </row>
    <row r="633" spans="5:5" x14ac:dyDescent="0.25">
      <c r="E633" s="36"/>
    </row>
    <row r="634" spans="5:5" x14ac:dyDescent="0.25">
      <c r="E634" s="36"/>
    </row>
    <row r="635" spans="5:5" x14ac:dyDescent="0.25">
      <c r="E635" s="36"/>
    </row>
    <row r="636" spans="5:5" x14ac:dyDescent="0.25">
      <c r="E636" s="36"/>
    </row>
    <row r="637" spans="5:5" x14ac:dyDescent="0.25">
      <c r="E637" s="36"/>
    </row>
    <row r="638" spans="5:5" x14ac:dyDescent="0.25">
      <c r="E638" s="36"/>
    </row>
    <row r="639" spans="5:5" x14ac:dyDescent="0.25">
      <c r="E639" s="36"/>
    </row>
    <row r="640" spans="5:5" x14ac:dyDescent="0.25">
      <c r="E640" s="36"/>
    </row>
    <row r="641" spans="5:5" x14ac:dyDescent="0.25">
      <c r="E641" s="36"/>
    </row>
    <row r="642" spans="5:5" x14ac:dyDescent="0.25">
      <c r="E642" s="36"/>
    </row>
    <row r="643" spans="5:5" x14ac:dyDescent="0.25">
      <c r="E643" s="36"/>
    </row>
    <row r="644" spans="5:5" x14ac:dyDescent="0.25">
      <c r="E644" s="36"/>
    </row>
    <row r="645" spans="5:5" x14ac:dyDescent="0.25">
      <c r="E645" s="36"/>
    </row>
    <row r="646" spans="5:5" x14ac:dyDescent="0.25">
      <c r="E646" s="36"/>
    </row>
    <row r="647" spans="5:5" x14ac:dyDescent="0.25">
      <c r="E647" s="36"/>
    </row>
    <row r="648" spans="5:5" x14ac:dyDescent="0.25">
      <c r="E648" s="36"/>
    </row>
    <row r="649" spans="5:5" x14ac:dyDescent="0.25">
      <c r="E649" s="36"/>
    </row>
    <row r="650" spans="5:5" x14ac:dyDescent="0.25">
      <c r="E650" s="36"/>
    </row>
    <row r="651" spans="5:5" x14ac:dyDescent="0.25">
      <c r="E651" s="36"/>
    </row>
    <row r="652" spans="5:5" x14ac:dyDescent="0.25">
      <c r="E652" s="36"/>
    </row>
    <row r="653" spans="5:5" x14ac:dyDescent="0.25">
      <c r="E653" s="36"/>
    </row>
    <row r="654" spans="5:5" x14ac:dyDescent="0.25">
      <c r="E654" s="36"/>
    </row>
    <row r="655" spans="5:5" x14ac:dyDescent="0.25">
      <c r="E655" s="36"/>
    </row>
    <row r="656" spans="5:5" x14ac:dyDescent="0.25">
      <c r="E656" s="36"/>
    </row>
    <row r="657" spans="5:5" x14ac:dyDescent="0.25">
      <c r="E657" s="36"/>
    </row>
    <row r="658" spans="5:5" x14ac:dyDescent="0.25">
      <c r="E658" s="36"/>
    </row>
    <row r="659" spans="5:5" x14ac:dyDescent="0.25">
      <c r="E659" s="36"/>
    </row>
    <row r="660" spans="5:5" x14ac:dyDescent="0.25">
      <c r="E660" s="36"/>
    </row>
    <row r="661" spans="5:5" x14ac:dyDescent="0.25">
      <c r="E661" s="36"/>
    </row>
    <row r="662" spans="5:5" x14ac:dyDescent="0.25">
      <c r="E662" s="36"/>
    </row>
    <row r="663" spans="5:5" x14ac:dyDescent="0.25">
      <c r="E663" s="36"/>
    </row>
    <row r="664" spans="5:5" x14ac:dyDescent="0.25">
      <c r="E664" s="36"/>
    </row>
    <row r="665" spans="5:5" x14ac:dyDescent="0.25">
      <c r="E665" s="36"/>
    </row>
    <row r="666" spans="5:5" x14ac:dyDescent="0.25">
      <c r="E666" s="36"/>
    </row>
    <row r="667" spans="5:5" x14ac:dyDescent="0.25">
      <c r="E667" s="36"/>
    </row>
    <row r="668" spans="5:5" x14ac:dyDescent="0.25">
      <c r="E668" s="36"/>
    </row>
    <row r="669" spans="5:5" x14ac:dyDescent="0.25">
      <c r="E669" s="36"/>
    </row>
    <row r="670" spans="5:5" x14ac:dyDescent="0.25">
      <c r="E670" s="36"/>
    </row>
    <row r="671" spans="5:5" x14ac:dyDescent="0.25">
      <c r="E671" s="36"/>
    </row>
    <row r="672" spans="5:5" x14ac:dyDescent="0.25">
      <c r="E672" s="36"/>
    </row>
    <row r="673" spans="5:5" x14ac:dyDescent="0.25">
      <c r="E673" s="36"/>
    </row>
    <row r="674" spans="5:5" x14ac:dyDescent="0.25">
      <c r="E674" s="36"/>
    </row>
    <row r="675" spans="5:5" x14ac:dyDescent="0.25">
      <c r="E675" s="36"/>
    </row>
    <row r="676" spans="5:5" x14ac:dyDescent="0.25">
      <c r="E676" s="36"/>
    </row>
    <row r="677" spans="5:5" x14ac:dyDescent="0.25">
      <c r="E677" s="36"/>
    </row>
    <row r="678" spans="5:5" x14ac:dyDescent="0.25">
      <c r="E678" s="36"/>
    </row>
    <row r="679" spans="5:5" x14ac:dyDescent="0.25">
      <c r="E679" s="36"/>
    </row>
    <row r="680" spans="5:5" x14ac:dyDescent="0.25">
      <c r="E680" s="36"/>
    </row>
    <row r="681" spans="5:5" x14ac:dyDescent="0.25">
      <c r="E681" s="36"/>
    </row>
    <row r="682" spans="5:5" x14ac:dyDescent="0.25">
      <c r="E682" s="36"/>
    </row>
    <row r="683" spans="5:5" x14ac:dyDescent="0.25">
      <c r="E683" s="36"/>
    </row>
    <row r="684" spans="5:5" x14ac:dyDescent="0.25">
      <c r="E684" s="36"/>
    </row>
    <row r="685" spans="5:5" x14ac:dyDescent="0.25">
      <c r="E685" s="36"/>
    </row>
    <row r="686" spans="5:5" x14ac:dyDescent="0.25">
      <c r="E686" s="36"/>
    </row>
    <row r="687" spans="5:5" x14ac:dyDescent="0.25">
      <c r="E687" s="36"/>
    </row>
    <row r="688" spans="5:5" x14ac:dyDescent="0.25">
      <c r="E688" s="36"/>
    </row>
    <row r="689" spans="5:5" x14ac:dyDescent="0.25">
      <c r="E689" s="36"/>
    </row>
    <row r="690" spans="5:5" x14ac:dyDescent="0.25">
      <c r="E690" s="36"/>
    </row>
    <row r="691" spans="5:5" x14ac:dyDescent="0.25">
      <c r="E691" s="36"/>
    </row>
    <row r="692" spans="5:5" x14ac:dyDescent="0.25">
      <c r="E692" s="36"/>
    </row>
    <row r="693" spans="5:5" x14ac:dyDescent="0.25">
      <c r="E693" s="36"/>
    </row>
    <row r="694" spans="5:5" x14ac:dyDescent="0.25">
      <c r="E694" s="36"/>
    </row>
    <row r="695" spans="5:5" x14ac:dyDescent="0.25">
      <c r="E695" s="36"/>
    </row>
    <row r="696" spans="5:5" x14ac:dyDescent="0.25">
      <c r="E696" s="36"/>
    </row>
    <row r="697" spans="5:5" x14ac:dyDescent="0.25">
      <c r="E697" s="36"/>
    </row>
    <row r="698" spans="5:5" x14ac:dyDescent="0.25">
      <c r="E698" s="36"/>
    </row>
    <row r="699" spans="5:5" x14ac:dyDescent="0.25">
      <c r="E699" s="36"/>
    </row>
    <row r="700" spans="5:5" x14ac:dyDescent="0.25">
      <c r="E700" s="36"/>
    </row>
    <row r="701" spans="5:5" x14ac:dyDescent="0.25">
      <c r="E701" s="36"/>
    </row>
    <row r="702" spans="5:5" x14ac:dyDescent="0.25">
      <c r="E702" s="36"/>
    </row>
    <row r="703" spans="5:5" x14ac:dyDescent="0.25">
      <c r="E703" s="36"/>
    </row>
    <row r="704" spans="5:5" x14ac:dyDescent="0.25">
      <c r="E704" s="36"/>
    </row>
    <row r="705" spans="5:5" x14ac:dyDescent="0.25">
      <c r="E705" s="36"/>
    </row>
    <row r="706" spans="5:5" x14ac:dyDescent="0.25">
      <c r="E706" s="36"/>
    </row>
    <row r="707" spans="5:5" x14ac:dyDescent="0.25">
      <c r="E707" s="36"/>
    </row>
    <row r="708" spans="5:5" x14ac:dyDescent="0.25">
      <c r="E708" s="36"/>
    </row>
    <row r="709" spans="5:5" x14ac:dyDescent="0.25">
      <c r="E709" s="36"/>
    </row>
    <row r="710" spans="5:5" x14ac:dyDescent="0.25">
      <c r="E710" s="36"/>
    </row>
    <row r="711" spans="5:5" x14ac:dyDescent="0.25">
      <c r="E711" s="36"/>
    </row>
    <row r="712" spans="5:5" x14ac:dyDescent="0.25">
      <c r="E712" s="36"/>
    </row>
    <row r="713" spans="5:5" x14ac:dyDescent="0.25">
      <c r="E713" s="36"/>
    </row>
    <row r="714" spans="5:5" x14ac:dyDescent="0.25">
      <c r="E714" s="36"/>
    </row>
    <row r="715" spans="5:5" x14ac:dyDescent="0.25">
      <c r="E715" s="36"/>
    </row>
    <row r="716" spans="5:5" x14ac:dyDescent="0.25">
      <c r="E716" s="36"/>
    </row>
    <row r="717" spans="5:5" x14ac:dyDescent="0.25">
      <c r="E717" s="36"/>
    </row>
    <row r="718" spans="5:5" x14ac:dyDescent="0.25">
      <c r="E718" s="36"/>
    </row>
    <row r="719" spans="5:5" x14ac:dyDescent="0.25">
      <c r="E719" s="36"/>
    </row>
    <row r="720" spans="5:5" x14ac:dyDescent="0.25">
      <c r="E720" s="36"/>
    </row>
    <row r="721" spans="5:5" x14ac:dyDescent="0.25">
      <c r="E721" s="36"/>
    </row>
    <row r="722" spans="5:5" x14ac:dyDescent="0.25">
      <c r="E722" s="36"/>
    </row>
    <row r="723" spans="5:5" x14ac:dyDescent="0.25">
      <c r="E723" s="36"/>
    </row>
    <row r="724" spans="5:5" x14ac:dyDescent="0.25">
      <c r="E724" s="36"/>
    </row>
    <row r="725" spans="5:5" x14ac:dyDescent="0.25">
      <c r="E725" s="36"/>
    </row>
    <row r="726" spans="5:5" x14ac:dyDescent="0.25">
      <c r="E726" s="36"/>
    </row>
    <row r="727" spans="5:5" x14ac:dyDescent="0.25">
      <c r="E727" s="36"/>
    </row>
    <row r="728" spans="5:5" x14ac:dyDescent="0.25">
      <c r="E728" s="36"/>
    </row>
    <row r="729" spans="5:5" x14ac:dyDescent="0.25">
      <c r="E729" s="36"/>
    </row>
    <row r="730" spans="5:5" x14ac:dyDescent="0.25">
      <c r="E730" s="36"/>
    </row>
    <row r="731" spans="5:5" x14ac:dyDescent="0.25">
      <c r="E731" s="36"/>
    </row>
    <row r="732" spans="5:5" x14ac:dyDescent="0.25">
      <c r="E732" s="36"/>
    </row>
    <row r="733" spans="5:5" x14ac:dyDescent="0.25">
      <c r="E733" s="36"/>
    </row>
    <row r="734" spans="5:5" x14ac:dyDescent="0.25">
      <c r="E734" s="36"/>
    </row>
    <row r="735" spans="5:5" x14ac:dyDescent="0.25">
      <c r="E735" s="36"/>
    </row>
    <row r="736" spans="5:5" x14ac:dyDescent="0.25">
      <c r="E736" s="36"/>
    </row>
    <row r="737" spans="5:5" x14ac:dyDescent="0.25">
      <c r="E737" s="36"/>
    </row>
    <row r="738" spans="5:5" x14ac:dyDescent="0.25">
      <c r="E738" s="36"/>
    </row>
    <row r="739" spans="5:5" x14ac:dyDescent="0.25">
      <c r="E739" s="36"/>
    </row>
    <row r="740" spans="5:5" x14ac:dyDescent="0.25">
      <c r="E740" s="36"/>
    </row>
    <row r="741" spans="5:5" x14ac:dyDescent="0.25">
      <c r="E741" s="36"/>
    </row>
    <row r="742" spans="5:5" x14ac:dyDescent="0.25">
      <c r="E742" s="36"/>
    </row>
    <row r="743" spans="5:5" x14ac:dyDescent="0.25">
      <c r="E743" s="36"/>
    </row>
    <row r="744" spans="5:5" x14ac:dyDescent="0.25">
      <c r="E744" s="36"/>
    </row>
    <row r="745" spans="5:5" x14ac:dyDescent="0.25">
      <c r="E745" s="36"/>
    </row>
    <row r="746" spans="5:5" x14ac:dyDescent="0.25">
      <c r="E746" s="36"/>
    </row>
    <row r="747" spans="5:5" x14ac:dyDescent="0.25">
      <c r="E747" s="36"/>
    </row>
    <row r="748" spans="5:5" x14ac:dyDescent="0.25">
      <c r="E748" s="36"/>
    </row>
    <row r="749" spans="5:5" x14ac:dyDescent="0.25">
      <c r="E749" s="36"/>
    </row>
    <row r="750" spans="5:5" x14ac:dyDescent="0.25">
      <c r="E750" s="36"/>
    </row>
    <row r="751" spans="5:5" x14ac:dyDescent="0.25">
      <c r="E751" s="36"/>
    </row>
    <row r="752" spans="5:5" x14ac:dyDescent="0.25">
      <c r="E752" s="36"/>
    </row>
    <row r="753" spans="5:5" x14ac:dyDescent="0.25">
      <c r="E753" s="36"/>
    </row>
    <row r="754" spans="5:5" x14ac:dyDescent="0.25">
      <c r="E754" s="36"/>
    </row>
    <row r="755" spans="5:5" x14ac:dyDescent="0.25">
      <c r="E755" s="36"/>
    </row>
    <row r="756" spans="5:5" x14ac:dyDescent="0.25">
      <c r="E756" s="36"/>
    </row>
    <row r="757" spans="5:5" x14ac:dyDescent="0.25">
      <c r="E757" s="36"/>
    </row>
    <row r="758" spans="5:5" x14ac:dyDescent="0.25">
      <c r="E758" s="36"/>
    </row>
    <row r="759" spans="5:5" x14ac:dyDescent="0.25">
      <c r="E759" s="36"/>
    </row>
    <row r="760" spans="5:5" x14ac:dyDescent="0.25">
      <c r="E760" s="36"/>
    </row>
    <row r="761" spans="5:5" x14ac:dyDescent="0.25">
      <c r="E761" s="36"/>
    </row>
    <row r="762" spans="5:5" x14ac:dyDescent="0.25">
      <c r="E762" s="36"/>
    </row>
    <row r="763" spans="5:5" x14ac:dyDescent="0.25">
      <c r="E763" s="36"/>
    </row>
    <row r="764" spans="5:5" x14ac:dyDescent="0.25">
      <c r="E764" s="36"/>
    </row>
    <row r="765" spans="5:5" x14ac:dyDescent="0.25">
      <c r="E765" s="36"/>
    </row>
    <row r="766" spans="5:5" x14ac:dyDescent="0.25">
      <c r="E766" s="36"/>
    </row>
    <row r="767" spans="5:5" x14ac:dyDescent="0.25">
      <c r="E767" s="36"/>
    </row>
    <row r="768" spans="5:5" x14ac:dyDescent="0.25">
      <c r="E768" s="36"/>
    </row>
    <row r="769" spans="5:5" x14ac:dyDescent="0.25">
      <c r="E769" s="36"/>
    </row>
    <row r="770" spans="5:5" x14ac:dyDescent="0.25">
      <c r="E770" s="36"/>
    </row>
    <row r="771" spans="5:5" x14ac:dyDescent="0.25">
      <c r="E771" s="36"/>
    </row>
    <row r="772" spans="5:5" x14ac:dyDescent="0.25">
      <c r="E772" s="36"/>
    </row>
    <row r="773" spans="5:5" x14ac:dyDescent="0.25">
      <c r="E773" s="36"/>
    </row>
    <row r="774" spans="5:5" x14ac:dyDescent="0.25">
      <c r="E774" s="36"/>
    </row>
    <row r="775" spans="5:5" x14ac:dyDescent="0.25">
      <c r="E775" s="36"/>
    </row>
    <row r="776" spans="5:5" x14ac:dyDescent="0.25">
      <c r="E776" s="36"/>
    </row>
    <row r="777" spans="5:5" x14ac:dyDescent="0.25">
      <c r="E777" s="36"/>
    </row>
    <row r="778" spans="5:5" x14ac:dyDescent="0.25">
      <c r="E778" s="36"/>
    </row>
    <row r="779" spans="5:5" x14ac:dyDescent="0.25">
      <c r="E779" s="36"/>
    </row>
    <row r="780" spans="5:5" x14ac:dyDescent="0.25">
      <c r="E780" s="36"/>
    </row>
    <row r="781" spans="5:5" x14ac:dyDescent="0.25">
      <c r="E781" s="36"/>
    </row>
    <row r="782" spans="5:5" x14ac:dyDescent="0.25">
      <c r="E782" s="36"/>
    </row>
    <row r="783" spans="5:5" x14ac:dyDescent="0.25">
      <c r="E783" s="36"/>
    </row>
    <row r="784" spans="5:5" x14ac:dyDescent="0.25">
      <c r="E784" s="36"/>
    </row>
    <row r="785" spans="5:5" x14ac:dyDescent="0.25">
      <c r="E785" s="36"/>
    </row>
    <row r="786" spans="5:5" x14ac:dyDescent="0.25">
      <c r="E786" s="36"/>
    </row>
    <row r="787" spans="5:5" x14ac:dyDescent="0.25">
      <c r="E787" s="36"/>
    </row>
    <row r="788" spans="5:5" x14ac:dyDescent="0.25">
      <c r="E788" s="36"/>
    </row>
    <row r="789" spans="5:5" x14ac:dyDescent="0.25">
      <c r="E789" s="36"/>
    </row>
    <row r="790" spans="5:5" x14ac:dyDescent="0.25">
      <c r="E790" s="36"/>
    </row>
    <row r="791" spans="5:5" x14ac:dyDescent="0.25">
      <c r="E791" s="36"/>
    </row>
    <row r="792" spans="5:5" x14ac:dyDescent="0.25">
      <c r="E792" s="36"/>
    </row>
    <row r="793" spans="5:5" x14ac:dyDescent="0.25">
      <c r="E793" s="36"/>
    </row>
    <row r="794" spans="5:5" x14ac:dyDescent="0.25">
      <c r="E794" s="36"/>
    </row>
    <row r="795" spans="5:5" x14ac:dyDescent="0.25">
      <c r="E795" s="36"/>
    </row>
    <row r="796" spans="5:5" x14ac:dyDescent="0.25">
      <c r="E796" s="36"/>
    </row>
    <row r="797" spans="5:5" x14ac:dyDescent="0.25">
      <c r="E797" s="36"/>
    </row>
    <row r="798" spans="5:5" x14ac:dyDescent="0.25">
      <c r="E798" s="36"/>
    </row>
    <row r="799" spans="5:5" x14ac:dyDescent="0.25">
      <c r="E799" s="36"/>
    </row>
    <row r="800" spans="5:5" x14ac:dyDescent="0.25">
      <c r="E800" s="36"/>
    </row>
    <row r="801" spans="5:5" x14ac:dyDescent="0.25">
      <c r="E801" s="36"/>
    </row>
    <row r="802" spans="5:5" x14ac:dyDescent="0.25">
      <c r="E802" s="36"/>
    </row>
    <row r="803" spans="5:5" x14ac:dyDescent="0.25">
      <c r="E803" s="36"/>
    </row>
    <row r="804" spans="5:5" x14ac:dyDescent="0.25">
      <c r="E804" s="36"/>
    </row>
    <row r="805" spans="5:5" x14ac:dyDescent="0.25">
      <c r="E805" s="36"/>
    </row>
    <row r="806" spans="5:5" x14ac:dyDescent="0.25">
      <c r="E806" s="36"/>
    </row>
    <row r="807" spans="5:5" x14ac:dyDescent="0.25">
      <c r="E807" s="36"/>
    </row>
    <row r="808" spans="5:5" x14ac:dyDescent="0.25">
      <c r="E808" s="36"/>
    </row>
    <row r="809" spans="5:5" x14ac:dyDescent="0.25">
      <c r="E809" s="36"/>
    </row>
    <row r="810" spans="5:5" x14ac:dyDescent="0.25">
      <c r="E810" s="36"/>
    </row>
    <row r="811" spans="5:5" x14ac:dyDescent="0.25">
      <c r="E811" s="36"/>
    </row>
    <row r="812" spans="5:5" x14ac:dyDescent="0.25">
      <c r="E812" s="36"/>
    </row>
    <row r="813" spans="5:5" x14ac:dyDescent="0.25">
      <c r="E813" s="36"/>
    </row>
    <row r="814" spans="5:5" x14ac:dyDescent="0.25">
      <c r="E814" s="36"/>
    </row>
    <row r="815" spans="5:5" x14ac:dyDescent="0.25">
      <c r="E815" s="36"/>
    </row>
    <row r="816" spans="5:5" x14ac:dyDescent="0.25">
      <c r="E816" s="36"/>
    </row>
    <row r="817" spans="5:5" x14ac:dyDescent="0.25">
      <c r="E817" s="36"/>
    </row>
    <row r="818" spans="5:5" x14ac:dyDescent="0.25">
      <c r="E818" s="36"/>
    </row>
    <row r="819" spans="5:5" x14ac:dyDescent="0.25">
      <c r="E819" s="36"/>
    </row>
    <row r="820" spans="5:5" x14ac:dyDescent="0.25">
      <c r="E820" s="36"/>
    </row>
    <row r="821" spans="5:5" x14ac:dyDescent="0.25">
      <c r="E821" s="36"/>
    </row>
    <row r="822" spans="5:5" x14ac:dyDescent="0.25">
      <c r="E822" s="36"/>
    </row>
    <row r="823" spans="5:5" x14ac:dyDescent="0.25">
      <c r="E823" s="36"/>
    </row>
    <row r="824" spans="5:5" x14ac:dyDescent="0.25">
      <c r="E824" s="36"/>
    </row>
    <row r="825" spans="5:5" x14ac:dyDescent="0.25">
      <c r="E825" s="36"/>
    </row>
    <row r="826" spans="5:5" x14ac:dyDescent="0.25">
      <c r="E826" s="36"/>
    </row>
    <row r="827" spans="5:5" x14ac:dyDescent="0.25">
      <c r="E827" s="36"/>
    </row>
    <row r="828" spans="5:5" x14ac:dyDescent="0.25">
      <c r="E828" s="36"/>
    </row>
    <row r="829" spans="5:5" x14ac:dyDescent="0.25">
      <c r="E829" s="36"/>
    </row>
    <row r="830" spans="5:5" x14ac:dyDescent="0.25">
      <c r="E830" s="36"/>
    </row>
    <row r="831" spans="5:5" x14ac:dyDescent="0.25">
      <c r="E831" s="36"/>
    </row>
    <row r="832" spans="5:5" x14ac:dyDescent="0.25">
      <c r="E832" s="36"/>
    </row>
    <row r="833" spans="5:5" x14ac:dyDescent="0.25">
      <c r="E833" s="36"/>
    </row>
    <row r="834" spans="5:5" x14ac:dyDescent="0.25">
      <c r="E834" s="36"/>
    </row>
    <row r="835" spans="5:5" x14ac:dyDescent="0.25">
      <c r="E835" s="36"/>
    </row>
    <row r="836" spans="5:5" x14ac:dyDescent="0.25">
      <c r="E836" s="36"/>
    </row>
    <row r="837" spans="5:5" x14ac:dyDescent="0.25">
      <c r="E837" s="36"/>
    </row>
    <row r="838" spans="5:5" x14ac:dyDescent="0.25">
      <c r="E838" s="36"/>
    </row>
    <row r="839" spans="5:5" x14ac:dyDescent="0.25">
      <c r="E839" s="36"/>
    </row>
    <row r="840" spans="5:5" x14ac:dyDescent="0.25">
      <c r="E840" s="36"/>
    </row>
    <row r="841" spans="5:5" x14ac:dyDescent="0.25">
      <c r="E841" s="36"/>
    </row>
    <row r="842" spans="5:5" x14ac:dyDescent="0.25">
      <c r="E842" s="36"/>
    </row>
    <row r="843" spans="5:5" x14ac:dyDescent="0.25">
      <c r="E843" s="36"/>
    </row>
    <row r="844" spans="5:5" x14ac:dyDescent="0.25">
      <c r="E844" s="36"/>
    </row>
    <row r="845" spans="5:5" x14ac:dyDescent="0.25">
      <c r="E845" s="36"/>
    </row>
    <row r="846" spans="5:5" x14ac:dyDescent="0.25">
      <c r="E846" s="36"/>
    </row>
    <row r="847" spans="5:5" x14ac:dyDescent="0.25">
      <c r="E847" s="36"/>
    </row>
    <row r="848" spans="5:5" x14ac:dyDescent="0.25">
      <c r="E848" s="36"/>
    </row>
    <row r="849" spans="5:5" x14ac:dyDescent="0.25">
      <c r="E849" s="36"/>
    </row>
    <row r="850" spans="5:5" x14ac:dyDescent="0.25">
      <c r="E850" s="36"/>
    </row>
    <row r="851" spans="5:5" x14ac:dyDescent="0.25">
      <c r="E851" s="36"/>
    </row>
    <row r="852" spans="5:5" x14ac:dyDescent="0.25">
      <c r="E852" s="36"/>
    </row>
    <row r="853" spans="5:5" x14ac:dyDescent="0.25">
      <c r="E853" s="36"/>
    </row>
    <row r="854" spans="5:5" x14ac:dyDescent="0.25">
      <c r="E854" s="36"/>
    </row>
    <row r="855" spans="5:5" x14ac:dyDescent="0.25">
      <c r="E855" s="36"/>
    </row>
    <row r="856" spans="5:5" x14ac:dyDescent="0.25">
      <c r="E856" s="36"/>
    </row>
    <row r="857" spans="5:5" x14ac:dyDescent="0.25">
      <c r="E857" s="36"/>
    </row>
    <row r="858" spans="5:5" x14ac:dyDescent="0.25">
      <c r="E858" s="36"/>
    </row>
    <row r="859" spans="5:5" x14ac:dyDescent="0.25">
      <c r="E859" s="36"/>
    </row>
    <row r="860" spans="5:5" x14ac:dyDescent="0.25">
      <c r="E860" s="36"/>
    </row>
    <row r="861" spans="5:5" x14ac:dyDescent="0.25">
      <c r="E861" s="36"/>
    </row>
    <row r="862" spans="5:5" x14ac:dyDescent="0.25">
      <c r="E862" s="36"/>
    </row>
    <row r="863" spans="5:5" x14ac:dyDescent="0.25">
      <c r="E863" s="36"/>
    </row>
    <row r="864" spans="5:5" x14ac:dyDescent="0.25">
      <c r="E864" s="36"/>
    </row>
    <row r="865" spans="5:5" x14ac:dyDescent="0.25">
      <c r="E865" s="36"/>
    </row>
    <row r="866" spans="5:5" x14ac:dyDescent="0.25">
      <c r="E866" s="36"/>
    </row>
    <row r="867" spans="5:5" x14ac:dyDescent="0.25">
      <c r="E867" s="36"/>
    </row>
    <row r="868" spans="5:5" x14ac:dyDescent="0.25">
      <c r="E868" s="36"/>
    </row>
    <row r="869" spans="5:5" x14ac:dyDescent="0.25">
      <c r="E869" s="36"/>
    </row>
    <row r="870" spans="5:5" x14ac:dyDescent="0.25">
      <c r="E870" s="36"/>
    </row>
    <row r="871" spans="5:5" x14ac:dyDescent="0.25">
      <c r="E871" s="36"/>
    </row>
    <row r="872" spans="5:5" x14ac:dyDescent="0.25">
      <c r="E872" s="36"/>
    </row>
    <row r="873" spans="5:5" x14ac:dyDescent="0.25">
      <c r="E873" s="36"/>
    </row>
    <row r="874" spans="5:5" x14ac:dyDescent="0.25">
      <c r="E874" s="36"/>
    </row>
    <row r="875" spans="5:5" x14ac:dyDescent="0.25">
      <c r="E875" s="36"/>
    </row>
    <row r="876" spans="5:5" x14ac:dyDescent="0.25">
      <c r="E876" s="36"/>
    </row>
    <row r="877" spans="5:5" x14ac:dyDescent="0.25">
      <c r="E877" s="36"/>
    </row>
    <row r="878" spans="5:5" x14ac:dyDescent="0.25">
      <c r="E878" s="36"/>
    </row>
    <row r="879" spans="5:5" x14ac:dyDescent="0.25">
      <c r="E879" s="36"/>
    </row>
    <row r="880" spans="5:5" x14ac:dyDescent="0.25">
      <c r="E880" s="36"/>
    </row>
    <row r="881" spans="5:5" x14ac:dyDescent="0.25">
      <c r="E881" s="36"/>
    </row>
    <row r="882" spans="5:5" x14ac:dyDescent="0.25">
      <c r="E882" s="36"/>
    </row>
    <row r="883" spans="5:5" x14ac:dyDescent="0.25">
      <c r="E883" s="36"/>
    </row>
    <row r="884" spans="5:5" x14ac:dyDescent="0.25">
      <c r="E884" s="36"/>
    </row>
    <row r="885" spans="5:5" x14ac:dyDescent="0.25">
      <c r="E885" s="36"/>
    </row>
    <row r="886" spans="5:5" x14ac:dyDescent="0.25">
      <c r="E886" s="36"/>
    </row>
    <row r="887" spans="5:5" x14ac:dyDescent="0.25">
      <c r="E887" s="36"/>
    </row>
    <row r="888" spans="5:5" x14ac:dyDescent="0.25">
      <c r="E888" s="36"/>
    </row>
    <row r="889" spans="5:5" x14ac:dyDescent="0.25">
      <c r="E889" s="36"/>
    </row>
    <row r="890" spans="5:5" x14ac:dyDescent="0.25">
      <c r="E890" s="36"/>
    </row>
    <row r="891" spans="5:5" x14ac:dyDescent="0.25">
      <c r="E891" s="36"/>
    </row>
    <row r="892" spans="5:5" x14ac:dyDescent="0.25">
      <c r="E892" s="36"/>
    </row>
    <row r="893" spans="5:5" x14ac:dyDescent="0.25">
      <c r="E893" s="36"/>
    </row>
    <row r="894" spans="5:5" x14ac:dyDescent="0.25">
      <c r="E894" s="36"/>
    </row>
    <row r="895" spans="5:5" x14ac:dyDescent="0.25">
      <c r="E895" s="36"/>
    </row>
    <row r="896" spans="5:5" x14ac:dyDescent="0.25">
      <c r="E896" s="36"/>
    </row>
    <row r="897" spans="5:5" x14ac:dyDescent="0.25">
      <c r="E897" s="36"/>
    </row>
    <row r="898" spans="5:5" x14ac:dyDescent="0.25">
      <c r="E898" s="36"/>
    </row>
    <row r="899" spans="5:5" x14ac:dyDescent="0.25">
      <c r="E899" s="36"/>
    </row>
    <row r="900" spans="5:5" x14ac:dyDescent="0.25">
      <c r="E900" s="36"/>
    </row>
    <row r="901" spans="5:5" x14ac:dyDescent="0.25">
      <c r="E901" s="36"/>
    </row>
    <row r="902" spans="5:5" x14ac:dyDescent="0.25">
      <c r="E902" s="36"/>
    </row>
    <row r="903" spans="5:5" x14ac:dyDescent="0.25">
      <c r="E903" s="36"/>
    </row>
    <row r="904" spans="5:5" x14ac:dyDescent="0.25">
      <c r="E904" s="36"/>
    </row>
    <row r="905" spans="5:5" x14ac:dyDescent="0.25">
      <c r="E905" s="36"/>
    </row>
    <row r="906" spans="5:5" x14ac:dyDescent="0.25">
      <c r="E906" s="36"/>
    </row>
    <row r="907" spans="5:5" x14ac:dyDescent="0.25">
      <c r="E907" s="36"/>
    </row>
    <row r="908" spans="5:5" x14ac:dyDescent="0.25">
      <c r="E908" s="36"/>
    </row>
    <row r="909" spans="5:5" x14ac:dyDescent="0.25">
      <c r="E909" s="36"/>
    </row>
    <row r="910" spans="5:5" x14ac:dyDescent="0.25">
      <c r="E910" s="36"/>
    </row>
    <row r="911" spans="5:5" x14ac:dyDescent="0.25">
      <c r="E911" s="36"/>
    </row>
    <row r="912" spans="5:5" x14ac:dyDescent="0.25">
      <c r="E912" s="36"/>
    </row>
    <row r="913" spans="5:5" x14ac:dyDescent="0.25">
      <c r="E913" s="36"/>
    </row>
    <row r="914" spans="5:5" x14ac:dyDescent="0.25">
      <c r="E914" s="36"/>
    </row>
    <row r="915" spans="5:5" x14ac:dyDescent="0.25">
      <c r="E915" s="36"/>
    </row>
    <row r="916" spans="5:5" x14ac:dyDescent="0.25">
      <c r="E916" s="36"/>
    </row>
    <row r="917" spans="5:5" x14ac:dyDescent="0.25">
      <c r="E917" s="36"/>
    </row>
    <row r="918" spans="5:5" x14ac:dyDescent="0.25">
      <c r="E918" s="36"/>
    </row>
    <row r="919" spans="5:5" x14ac:dyDescent="0.25">
      <c r="E919" s="36"/>
    </row>
    <row r="920" spans="5:5" x14ac:dyDescent="0.25">
      <c r="E920" s="36"/>
    </row>
    <row r="921" spans="5:5" x14ac:dyDescent="0.25">
      <c r="E921" s="36"/>
    </row>
    <row r="922" spans="5:5" x14ac:dyDescent="0.25">
      <c r="E922" s="36"/>
    </row>
    <row r="923" spans="5:5" x14ac:dyDescent="0.25">
      <c r="E923" s="36"/>
    </row>
    <row r="924" spans="5:5" x14ac:dyDescent="0.25">
      <c r="E924" s="36"/>
    </row>
    <row r="925" spans="5:5" x14ac:dyDescent="0.25">
      <c r="E925" s="36"/>
    </row>
    <row r="926" spans="5:5" x14ac:dyDescent="0.25">
      <c r="E926" s="36"/>
    </row>
    <row r="927" spans="5:5" x14ac:dyDescent="0.25">
      <c r="E927" s="36"/>
    </row>
    <row r="928" spans="5:5" x14ac:dyDescent="0.25">
      <c r="E928" s="36"/>
    </row>
    <row r="929" spans="5:5" x14ac:dyDescent="0.25">
      <c r="E929" s="36"/>
    </row>
    <row r="930" spans="5:5" x14ac:dyDescent="0.25">
      <c r="E930" s="36"/>
    </row>
    <row r="931" spans="5:5" x14ac:dyDescent="0.25">
      <c r="E931" s="36"/>
    </row>
    <row r="932" spans="5:5" x14ac:dyDescent="0.25">
      <c r="E932" s="36"/>
    </row>
    <row r="933" spans="5:5" x14ac:dyDescent="0.25">
      <c r="E933" s="36"/>
    </row>
    <row r="934" spans="5:5" x14ac:dyDescent="0.25">
      <c r="E934" s="36"/>
    </row>
    <row r="935" spans="5:5" x14ac:dyDescent="0.25">
      <c r="E935" s="36"/>
    </row>
    <row r="936" spans="5:5" x14ac:dyDescent="0.25">
      <c r="E936" s="36"/>
    </row>
    <row r="937" spans="5:5" x14ac:dyDescent="0.25">
      <c r="E937" s="36"/>
    </row>
    <row r="938" spans="5:5" x14ac:dyDescent="0.25">
      <c r="E938" s="36"/>
    </row>
    <row r="939" spans="5:5" x14ac:dyDescent="0.25">
      <c r="E939" s="36"/>
    </row>
    <row r="940" spans="5:5" x14ac:dyDescent="0.25">
      <c r="E940" s="36"/>
    </row>
    <row r="941" spans="5:5" x14ac:dyDescent="0.25">
      <c r="E941" s="36"/>
    </row>
    <row r="942" spans="5:5" x14ac:dyDescent="0.25">
      <c r="E942" s="36"/>
    </row>
    <row r="943" spans="5:5" x14ac:dyDescent="0.25">
      <c r="E943" s="36"/>
    </row>
    <row r="944" spans="5:5" x14ac:dyDescent="0.25">
      <c r="E944" s="36"/>
    </row>
    <row r="945" spans="5:5" x14ac:dyDescent="0.25">
      <c r="E945" s="36"/>
    </row>
    <row r="946" spans="5:5" x14ac:dyDescent="0.25">
      <c r="E946" s="36"/>
    </row>
    <row r="947" spans="5:5" x14ac:dyDescent="0.25">
      <c r="E947" s="36"/>
    </row>
    <row r="948" spans="5:5" x14ac:dyDescent="0.25">
      <c r="E948" s="36"/>
    </row>
    <row r="949" spans="5:5" x14ac:dyDescent="0.25">
      <c r="E949" s="36"/>
    </row>
    <row r="950" spans="5:5" x14ac:dyDescent="0.25">
      <c r="E950" s="36"/>
    </row>
    <row r="951" spans="5:5" x14ac:dyDescent="0.25">
      <c r="E951" s="36"/>
    </row>
    <row r="952" spans="5:5" x14ac:dyDescent="0.25">
      <c r="E952" s="36"/>
    </row>
    <row r="953" spans="5:5" x14ac:dyDescent="0.25">
      <c r="E953" s="36"/>
    </row>
    <row r="954" spans="5:5" x14ac:dyDescent="0.25">
      <c r="E954" s="36"/>
    </row>
    <row r="955" spans="5:5" x14ac:dyDescent="0.25">
      <c r="E955" s="36"/>
    </row>
    <row r="956" spans="5:5" x14ac:dyDescent="0.25">
      <c r="E956" s="36"/>
    </row>
    <row r="957" spans="5:5" x14ac:dyDescent="0.25">
      <c r="E957" s="36"/>
    </row>
    <row r="958" spans="5:5" x14ac:dyDescent="0.25">
      <c r="E958" s="36"/>
    </row>
    <row r="959" spans="5:5" x14ac:dyDescent="0.25">
      <c r="E959" s="36"/>
    </row>
    <row r="960" spans="5:5" x14ac:dyDescent="0.25">
      <c r="E960" s="36"/>
    </row>
    <row r="961" spans="5:5" x14ac:dyDescent="0.25">
      <c r="E961" s="36"/>
    </row>
    <row r="962" spans="5:5" x14ac:dyDescent="0.25">
      <c r="E962" s="36"/>
    </row>
    <row r="963" spans="5:5" x14ac:dyDescent="0.25">
      <c r="E963" s="36"/>
    </row>
    <row r="964" spans="5:5" x14ac:dyDescent="0.25">
      <c r="E964" s="36"/>
    </row>
    <row r="965" spans="5:5" x14ac:dyDescent="0.25">
      <c r="E965" s="36"/>
    </row>
    <row r="966" spans="5:5" x14ac:dyDescent="0.25">
      <c r="E966" s="36"/>
    </row>
    <row r="967" spans="5:5" x14ac:dyDescent="0.25">
      <c r="E967" s="36"/>
    </row>
    <row r="968" spans="5:5" x14ac:dyDescent="0.25">
      <c r="E968" s="36"/>
    </row>
    <row r="969" spans="5:5" x14ac:dyDescent="0.25">
      <c r="E969" s="36"/>
    </row>
    <row r="970" spans="5:5" x14ac:dyDescent="0.25">
      <c r="E970" s="36"/>
    </row>
    <row r="971" spans="5:5" x14ac:dyDescent="0.25">
      <c r="E971" s="36"/>
    </row>
    <row r="972" spans="5:5" x14ac:dyDescent="0.25">
      <c r="E972" s="36"/>
    </row>
    <row r="973" spans="5:5" x14ac:dyDescent="0.25">
      <c r="E973" s="36"/>
    </row>
    <row r="974" spans="5:5" x14ac:dyDescent="0.25">
      <c r="E974" s="36"/>
    </row>
    <row r="975" spans="5:5" x14ac:dyDescent="0.25">
      <c r="E975" s="36"/>
    </row>
    <row r="976" spans="5:5" x14ac:dyDescent="0.25">
      <c r="E976" s="36"/>
    </row>
    <row r="977" spans="5:5" x14ac:dyDescent="0.25">
      <c r="E977" s="36"/>
    </row>
    <row r="978" spans="5:5" x14ac:dyDescent="0.25">
      <c r="E978" s="36"/>
    </row>
    <row r="979" spans="5:5" x14ac:dyDescent="0.25">
      <c r="E979" s="36"/>
    </row>
    <row r="980" spans="5:5" x14ac:dyDescent="0.25">
      <c r="E980" s="36"/>
    </row>
    <row r="981" spans="5:5" x14ac:dyDescent="0.25">
      <c r="E981" s="36"/>
    </row>
    <row r="982" spans="5:5" x14ac:dyDescent="0.25">
      <c r="E982" s="36"/>
    </row>
    <row r="983" spans="5:5" x14ac:dyDescent="0.25">
      <c r="E983" s="36"/>
    </row>
    <row r="984" spans="5:5" x14ac:dyDescent="0.25">
      <c r="E984" s="36"/>
    </row>
    <row r="985" spans="5:5" x14ac:dyDescent="0.25">
      <c r="E985" s="36"/>
    </row>
    <row r="986" spans="5:5" x14ac:dyDescent="0.25">
      <c r="E986" s="36"/>
    </row>
    <row r="987" spans="5:5" x14ac:dyDescent="0.25">
      <c r="E987" s="36"/>
    </row>
    <row r="988" spans="5:5" x14ac:dyDescent="0.25">
      <c r="E988" s="36"/>
    </row>
    <row r="989" spans="5:5" x14ac:dyDescent="0.25">
      <c r="E989" s="36"/>
    </row>
    <row r="990" spans="5:5" x14ac:dyDescent="0.25">
      <c r="E990" s="36"/>
    </row>
    <row r="991" spans="5:5" x14ac:dyDescent="0.25">
      <c r="E991" s="36"/>
    </row>
    <row r="992" spans="5:5" x14ac:dyDescent="0.25">
      <c r="E992" s="36"/>
    </row>
    <row r="993" spans="5:5" x14ac:dyDescent="0.25">
      <c r="E993" s="36"/>
    </row>
    <row r="994" spans="5:5" x14ac:dyDescent="0.25">
      <c r="E994" s="36"/>
    </row>
    <row r="995" spans="5:5" x14ac:dyDescent="0.25">
      <c r="E995" s="36"/>
    </row>
    <row r="996" spans="5:5" x14ac:dyDescent="0.25">
      <c r="E996" s="36"/>
    </row>
    <row r="997" spans="5:5" x14ac:dyDescent="0.25">
      <c r="E997" s="36"/>
    </row>
    <row r="998" spans="5:5" x14ac:dyDescent="0.25">
      <c r="E998" s="36"/>
    </row>
    <row r="999" spans="5:5" x14ac:dyDescent="0.25">
      <c r="E999" s="36"/>
    </row>
    <row r="1000" spans="5:5" x14ac:dyDescent="0.25">
      <c r="E1000" s="36"/>
    </row>
  </sheetData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HarnessStructure">
                <anchor moveWithCells="1" sizeWithCells="1">
                  <from>
                    <xdr:col>0</xdr:col>
                    <xdr:colOff>276225</xdr:colOff>
                    <xdr:row>2</xdr:row>
                    <xdr:rowOff>38100</xdr:rowOff>
                  </from>
                  <to>
                    <xdr:col>0</xdr:col>
                    <xdr:colOff>1133475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reateHorizontalHarnessVisualization">
                <anchor moveWithCells="1" sizeWithCells="1">
                  <from>
                    <xdr:col>3</xdr:col>
                    <xdr:colOff>57150</xdr:colOff>
                    <xdr:row>0</xdr:row>
                    <xdr:rowOff>28575</xdr:rowOff>
                  </from>
                  <to>
                    <xdr:col>5</xdr:col>
                    <xdr:colOff>57150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PrepareCalculatePathMultiple">
                <anchor moveWithCells="1" sizeWithCells="1">
                  <from>
                    <xdr:col>6</xdr:col>
                    <xdr:colOff>333375</xdr:colOff>
                    <xdr:row>0</xdr:row>
                    <xdr:rowOff>19050</xdr:rowOff>
                  </from>
                  <to>
                    <xdr:col>9</xdr:col>
                    <xdr:colOff>238125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5705C-4858-4F48-A2F3-FA2FA1A63EBC}">
  <sheetPr codeName="Лист5"/>
  <dimension ref="A1:T54"/>
  <sheetViews>
    <sheetView workbookViewId="0">
      <selection activeCell="J14" sqref="J14"/>
    </sheetView>
  </sheetViews>
  <sheetFormatPr defaultRowHeight="15" x14ac:dyDescent="0.25"/>
  <cols>
    <col min="1" max="1" width="18.5703125" customWidth="1"/>
    <col min="2" max="2" width="14.5703125" customWidth="1"/>
    <col min="3" max="3" width="13" customWidth="1"/>
    <col min="4" max="4" width="23.140625" customWidth="1"/>
  </cols>
  <sheetData>
    <row r="1" spans="1:20" ht="15.75" x14ac:dyDescent="0.25">
      <c r="A1" s="9" t="s">
        <v>64</v>
      </c>
      <c r="B1" s="9" t="s">
        <v>78</v>
      </c>
      <c r="C1" s="9" t="s">
        <v>79</v>
      </c>
      <c r="D1" s="9" t="s">
        <v>89</v>
      </c>
    </row>
    <row r="2" spans="1:20" ht="15.75" x14ac:dyDescent="0.25">
      <c r="A2" s="54" t="s">
        <v>70</v>
      </c>
      <c r="B2" s="18" t="s">
        <v>76</v>
      </c>
      <c r="C2" s="18" t="s">
        <v>85</v>
      </c>
      <c r="D2" s="6">
        <v>800</v>
      </c>
    </row>
    <row r="3" spans="1:20" ht="15.75" x14ac:dyDescent="0.25">
      <c r="A3" s="54" t="s">
        <v>70</v>
      </c>
      <c r="B3" s="18" t="s">
        <v>76</v>
      </c>
      <c r="C3" s="18" t="s">
        <v>87</v>
      </c>
      <c r="D3" s="6">
        <v>1000</v>
      </c>
    </row>
    <row r="4" spans="1:20" ht="15.75" x14ac:dyDescent="0.25">
      <c r="A4" s="54" t="s">
        <v>70</v>
      </c>
      <c r="B4" s="18" t="s">
        <v>76</v>
      </c>
      <c r="C4" s="18" t="s">
        <v>84</v>
      </c>
      <c r="D4" s="6">
        <v>600</v>
      </c>
      <c r="I4" s="37"/>
      <c r="J4" s="37"/>
      <c r="K4" s="37"/>
      <c r="L4" s="37"/>
      <c r="M4" s="37"/>
      <c r="N4" s="37"/>
      <c r="O4" s="47"/>
      <c r="P4" s="47"/>
      <c r="Q4" s="47"/>
      <c r="R4" s="47"/>
      <c r="S4" s="47"/>
      <c r="T4" s="47"/>
    </row>
    <row r="5" spans="1:20" ht="15.75" x14ac:dyDescent="0.25">
      <c r="A5" s="54" t="s">
        <v>70</v>
      </c>
      <c r="B5" s="18" t="s">
        <v>76</v>
      </c>
      <c r="C5" s="18" t="s">
        <v>83</v>
      </c>
      <c r="D5" s="6">
        <v>1200</v>
      </c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</row>
    <row r="6" spans="1:20" ht="15.75" x14ac:dyDescent="0.25">
      <c r="A6" s="54" t="s">
        <v>70</v>
      </c>
      <c r="B6" s="18" t="s">
        <v>76</v>
      </c>
      <c r="C6" s="18" t="s">
        <v>74</v>
      </c>
      <c r="D6" s="6">
        <v>1500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ht="15.75" x14ac:dyDescent="0.25">
      <c r="A7" s="54" t="s">
        <v>75</v>
      </c>
      <c r="B7" s="18" t="s">
        <v>90</v>
      </c>
      <c r="C7" s="18" t="s">
        <v>71</v>
      </c>
      <c r="D7" s="6">
        <v>900</v>
      </c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0" ht="15.75" x14ac:dyDescent="0.25">
      <c r="A8" s="54" t="s">
        <v>75</v>
      </c>
      <c r="B8" s="18" t="s">
        <v>90</v>
      </c>
      <c r="C8" s="18" t="s">
        <v>92</v>
      </c>
      <c r="D8" s="6">
        <v>700</v>
      </c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</row>
    <row r="9" spans="1:20" ht="15.75" x14ac:dyDescent="0.25">
      <c r="A9" s="18"/>
      <c r="B9" s="18"/>
      <c r="C9" s="18"/>
      <c r="D9" s="6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</row>
    <row r="10" spans="1:20" ht="15.75" x14ac:dyDescent="0.25">
      <c r="A10" s="54"/>
      <c r="B10" s="18"/>
      <c r="C10" s="18"/>
      <c r="D10" s="6"/>
      <c r="I10" s="39"/>
      <c r="J10" s="39"/>
      <c r="K10" s="37"/>
      <c r="L10" s="47"/>
      <c r="M10" s="47"/>
      <c r="N10" s="47"/>
      <c r="O10" s="47"/>
      <c r="P10" s="47"/>
      <c r="Q10" s="47"/>
      <c r="R10" s="47"/>
      <c r="S10" s="47"/>
      <c r="T10" s="47"/>
    </row>
    <row r="11" spans="1:20" ht="15.75" x14ac:dyDescent="0.25">
      <c r="A11" s="54"/>
      <c r="B11" s="18"/>
      <c r="C11" s="18"/>
      <c r="D11" s="6"/>
      <c r="I11" s="39"/>
      <c r="J11" s="39"/>
      <c r="K11" s="56"/>
      <c r="L11" s="47"/>
      <c r="M11" s="47"/>
      <c r="N11" s="47"/>
      <c r="O11" s="47"/>
      <c r="P11" s="47"/>
      <c r="Q11" s="47"/>
      <c r="R11" s="47"/>
      <c r="S11" s="47"/>
      <c r="T11" s="47"/>
    </row>
    <row r="12" spans="1:20" ht="15.75" x14ac:dyDescent="0.25">
      <c r="A12" s="54"/>
      <c r="B12" s="18"/>
      <c r="C12" s="18"/>
      <c r="D12" s="6"/>
      <c r="I12" s="55"/>
      <c r="J12" s="47"/>
      <c r="K12" s="55"/>
      <c r="L12" s="47"/>
      <c r="M12" s="55"/>
      <c r="N12" s="55"/>
      <c r="O12" s="47"/>
      <c r="P12" s="47"/>
      <c r="Q12" s="47"/>
      <c r="R12" s="47"/>
      <c r="S12" s="47"/>
      <c r="T12" s="47"/>
    </row>
    <row r="13" spans="1:20" ht="15.75" x14ac:dyDescent="0.25">
      <c r="A13" s="54"/>
      <c r="B13" s="18"/>
      <c r="C13" s="18"/>
      <c r="D13" s="6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</row>
    <row r="14" spans="1:20" ht="15.75" x14ac:dyDescent="0.25">
      <c r="A14" s="54"/>
      <c r="B14" s="18"/>
      <c r="C14" s="18"/>
      <c r="D14" s="6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</row>
    <row r="15" spans="1:20" ht="15.75" x14ac:dyDescent="0.25">
      <c r="A15" s="54"/>
      <c r="B15" s="18"/>
      <c r="C15" s="18"/>
      <c r="D15" s="6"/>
      <c r="I15" s="55"/>
      <c r="J15" s="47"/>
      <c r="K15" s="55"/>
      <c r="L15" s="47"/>
      <c r="M15" s="55"/>
      <c r="N15" s="55"/>
      <c r="O15" s="47"/>
      <c r="P15" s="47"/>
      <c r="Q15" s="47"/>
      <c r="R15" s="47"/>
      <c r="S15" s="47"/>
      <c r="T15" s="47"/>
    </row>
    <row r="16" spans="1:20" ht="15.75" x14ac:dyDescent="0.25">
      <c r="A16" s="54"/>
      <c r="B16" s="18"/>
      <c r="C16" s="18"/>
      <c r="D16" s="6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</row>
    <row r="17" spans="1:20" ht="15.75" x14ac:dyDescent="0.25">
      <c r="A17" s="54"/>
      <c r="B17" s="18"/>
      <c r="C17" s="18"/>
      <c r="D17" s="6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</row>
    <row r="18" spans="1:20" ht="15.75" x14ac:dyDescent="0.25">
      <c r="A18" s="54"/>
      <c r="B18" s="18"/>
      <c r="C18" s="18"/>
      <c r="D18" s="6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</row>
    <row r="19" spans="1:20" ht="15.75" x14ac:dyDescent="0.25">
      <c r="A19" s="54"/>
      <c r="B19" s="18"/>
      <c r="C19" s="18"/>
      <c r="D19" s="6"/>
    </row>
    <row r="20" spans="1:20" ht="15.75" x14ac:dyDescent="0.25">
      <c r="A20" s="54"/>
      <c r="B20" s="18"/>
      <c r="C20" s="18"/>
      <c r="D20" s="6"/>
    </row>
    <row r="21" spans="1:20" ht="15.75" x14ac:dyDescent="0.25">
      <c r="A21" s="54"/>
      <c r="B21" s="18"/>
      <c r="C21" s="18"/>
      <c r="D21" s="6"/>
    </row>
    <row r="22" spans="1:20" ht="15.75" x14ac:dyDescent="0.25">
      <c r="A22" s="54"/>
      <c r="B22" s="18"/>
      <c r="C22" s="18"/>
      <c r="D22" s="6"/>
    </row>
    <row r="23" spans="1:20" ht="15.75" x14ac:dyDescent="0.25">
      <c r="A23" s="54"/>
      <c r="B23" s="18"/>
      <c r="C23" s="18"/>
      <c r="D23" s="6"/>
    </row>
    <row r="24" spans="1:20" ht="15.75" x14ac:dyDescent="0.25">
      <c r="A24" s="54"/>
      <c r="B24" s="18"/>
      <c r="C24" s="18"/>
      <c r="D24" s="6"/>
    </row>
    <row r="25" spans="1:20" ht="15.75" x14ac:dyDescent="0.25">
      <c r="A25" s="54"/>
      <c r="B25" s="18"/>
      <c r="C25" s="18"/>
      <c r="D25" s="6"/>
    </row>
    <row r="26" spans="1:20" ht="15.75" x14ac:dyDescent="0.25">
      <c r="A26" s="54"/>
      <c r="B26" s="18"/>
      <c r="C26" s="18"/>
      <c r="D26" s="6"/>
    </row>
    <row r="27" spans="1:20" ht="15.75" x14ac:dyDescent="0.25">
      <c r="A27" s="54"/>
      <c r="B27" s="18"/>
      <c r="C27" s="18"/>
      <c r="D27" s="6"/>
    </row>
    <row r="28" spans="1:20" ht="15.75" x14ac:dyDescent="0.25">
      <c r="A28" s="54"/>
      <c r="B28" s="18"/>
      <c r="C28" s="18"/>
      <c r="D28" s="6"/>
    </row>
    <row r="29" spans="1:20" ht="15.75" x14ac:dyDescent="0.25">
      <c r="A29" s="54"/>
      <c r="B29" s="18"/>
      <c r="C29" s="18"/>
      <c r="D29" s="6"/>
    </row>
    <row r="30" spans="1:20" ht="15.75" x14ac:dyDescent="0.25">
      <c r="A30" s="54"/>
      <c r="B30" s="18"/>
      <c r="C30" s="18"/>
      <c r="D30" s="6"/>
    </row>
    <row r="31" spans="1:20" ht="15.75" x14ac:dyDescent="0.25">
      <c r="A31" s="54"/>
      <c r="B31" s="18"/>
      <c r="C31" s="18"/>
      <c r="D31" s="6"/>
    </row>
    <row r="32" spans="1:20" ht="15.75" x14ac:dyDescent="0.25">
      <c r="A32" s="54"/>
      <c r="B32" s="18"/>
      <c r="C32" s="18"/>
      <c r="D32" s="6"/>
    </row>
    <row r="33" spans="1:4" ht="15.75" x14ac:dyDescent="0.25">
      <c r="A33" s="54"/>
      <c r="B33" s="18"/>
      <c r="C33" s="18"/>
      <c r="D33" s="6"/>
    </row>
    <row r="34" spans="1:4" ht="15.75" x14ac:dyDescent="0.25">
      <c r="A34" s="54"/>
      <c r="B34" s="18"/>
      <c r="C34" s="18"/>
      <c r="D34" s="6"/>
    </row>
    <row r="35" spans="1:4" ht="15.75" x14ac:dyDescent="0.25">
      <c r="A35" s="54"/>
      <c r="B35" s="18"/>
      <c r="C35" s="18"/>
      <c r="D35" s="6"/>
    </row>
    <row r="36" spans="1:4" ht="15.75" x14ac:dyDescent="0.25">
      <c r="A36" s="54"/>
      <c r="B36" s="18"/>
      <c r="C36" s="18"/>
      <c r="D36" s="6"/>
    </row>
    <row r="37" spans="1:4" ht="15.75" x14ac:dyDescent="0.25">
      <c r="A37" s="54"/>
      <c r="B37" s="18"/>
      <c r="C37" s="18"/>
      <c r="D37" s="6"/>
    </row>
    <row r="38" spans="1:4" ht="15.75" x14ac:dyDescent="0.25">
      <c r="A38" s="54"/>
      <c r="B38" s="18"/>
      <c r="C38" s="18"/>
      <c r="D38" s="6"/>
    </row>
    <row r="39" spans="1:4" ht="15.75" x14ac:dyDescent="0.25">
      <c r="A39" s="54"/>
      <c r="B39" s="18"/>
      <c r="C39" s="18"/>
      <c r="D39" s="6"/>
    </row>
    <row r="40" spans="1:4" ht="15.75" x14ac:dyDescent="0.25">
      <c r="A40" s="54"/>
      <c r="B40" s="18"/>
      <c r="C40" s="18"/>
      <c r="D40" s="6"/>
    </row>
    <row r="41" spans="1:4" ht="15.75" x14ac:dyDescent="0.25">
      <c r="A41" s="54"/>
      <c r="B41" s="18"/>
      <c r="C41" s="18"/>
      <c r="D41" s="6"/>
    </row>
    <row r="42" spans="1:4" ht="15.75" x14ac:dyDescent="0.25">
      <c r="A42" s="54"/>
      <c r="B42" s="18"/>
      <c r="C42" s="18"/>
      <c r="D42" s="6"/>
    </row>
    <row r="43" spans="1:4" ht="15.75" x14ac:dyDescent="0.25">
      <c r="A43" s="54"/>
      <c r="B43" s="18"/>
      <c r="C43" s="18"/>
      <c r="D43" s="6"/>
    </row>
    <row r="44" spans="1:4" ht="15.75" x14ac:dyDescent="0.25">
      <c r="A44" s="54"/>
      <c r="B44" s="18"/>
      <c r="C44" s="18"/>
      <c r="D44" s="6"/>
    </row>
    <row r="45" spans="1:4" ht="15.75" x14ac:dyDescent="0.25">
      <c r="A45" s="54"/>
      <c r="B45" s="18"/>
      <c r="C45" s="18"/>
      <c r="D45" s="6"/>
    </row>
    <row r="46" spans="1:4" ht="15.75" x14ac:dyDescent="0.25">
      <c r="A46" s="54"/>
      <c r="B46" s="18"/>
      <c r="C46" s="18"/>
      <c r="D46" s="6"/>
    </row>
    <row r="47" spans="1:4" ht="15.75" x14ac:dyDescent="0.25">
      <c r="A47" s="54"/>
      <c r="B47" s="18"/>
      <c r="C47" s="18"/>
      <c r="D47" s="6"/>
    </row>
    <row r="48" spans="1:4" ht="15.75" x14ac:dyDescent="0.25">
      <c r="A48" s="54"/>
      <c r="B48" s="18"/>
      <c r="C48" s="18"/>
      <c r="D48" s="6"/>
    </row>
    <row r="49" spans="1:4" ht="15.75" x14ac:dyDescent="0.25">
      <c r="A49" s="54"/>
      <c r="B49" s="18"/>
      <c r="C49" s="18"/>
      <c r="D49" s="6"/>
    </row>
    <row r="50" spans="1:4" ht="15.75" x14ac:dyDescent="0.25">
      <c r="A50" s="54"/>
      <c r="B50" s="18"/>
      <c r="C50" s="18"/>
      <c r="D50" s="6"/>
    </row>
    <row r="51" spans="1:4" ht="15.75" x14ac:dyDescent="0.25">
      <c r="A51" s="54"/>
      <c r="B51" s="18"/>
      <c r="C51" s="18"/>
      <c r="D51" s="6"/>
    </row>
    <row r="52" spans="1:4" ht="15.75" x14ac:dyDescent="0.25">
      <c r="A52" s="54"/>
      <c r="B52" s="18"/>
      <c r="C52" s="18"/>
      <c r="D52" s="6"/>
    </row>
    <row r="53" spans="1:4" ht="15.75" x14ac:dyDescent="0.25">
      <c r="A53" s="54"/>
      <c r="B53" s="18"/>
      <c r="C53" s="18"/>
      <c r="D53" s="6"/>
    </row>
    <row r="54" spans="1:4" ht="15.75" x14ac:dyDescent="0.25">
      <c r="A54" s="54"/>
      <c r="B54" s="18"/>
      <c r="C54" s="18"/>
      <c r="D54" s="6"/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B2E0-23B8-4874-A0A5-FE6571DEF93E}">
  <sheetPr codeName="Лист2"/>
  <dimension ref="A1:U78"/>
  <sheetViews>
    <sheetView topLeftCell="A4" workbookViewId="0">
      <selection activeCell="A9" sqref="A9:A30"/>
    </sheetView>
  </sheetViews>
  <sheetFormatPr defaultRowHeight="15" x14ac:dyDescent="0.25"/>
  <cols>
    <col min="1" max="1" width="27.85546875" customWidth="1"/>
    <col min="2" max="2" width="21.140625" customWidth="1"/>
    <col min="3" max="3" width="21" customWidth="1"/>
    <col min="4" max="4" width="27.85546875" customWidth="1"/>
    <col min="5" max="5" width="20.7109375" customWidth="1"/>
    <col min="6" max="6" width="15.28515625" customWidth="1"/>
    <col min="7" max="7" width="11" customWidth="1"/>
    <col min="9" max="9" width="21.7109375" customWidth="1"/>
    <col min="11" max="11" width="13.7109375" customWidth="1"/>
    <col min="12" max="12" width="18.28515625" customWidth="1"/>
    <col min="13" max="14" width="14" customWidth="1"/>
    <col min="17" max="18" width="15.85546875" customWidth="1"/>
    <col min="19" max="19" width="15" customWidth="1"/>
    <col min="20" max="20" width="17.28515625" customWidth="1"/>
    <col min="21" max="21" width="17" customWidth="1"/>
  </cols>
  <sheetData>
    <row r="1" spans="1:21" ht="15.75" x14ac:dyDescent="0.25">
      <c r="A1" s="10" t="s">
        <v>2</v>
      </c>
      <c r="B1" s="2" t="s">
        <v>5</v>
      </c>
      <c r="C1" s="31"/>
      <c r="D1" s="10" t="s">
        <v>9</v>
      </c>
      <c r="E1" s="2" t="s">
        <v>20</v>
      </c>
      <c r="G1" s="18" t="s">
        <v>58</v>
      </c>
    </row>
    <row r="2" spans="1:21" ht="15.75" x14ac:dyDescent="0.25">
      <c r="A2" s="9" t="s">
        <v>3</v>
      </c>
      <c r="B2" s="7">
        <v>1.7100000000000001E-2</v>
      </c>
      <c r="C2" s="5"/>
      <c r="D2" s="9" t="s">
        <v>3</v>
      </c>
      <c r="E2" s="2">
        <v>3.9300000000000003E-3</v>
      </c>
      <c r="G2" s="18" t="s">
        <v>59</v>
      </c>
    </row>
    <row r="3" spans="1:21" ht="15.75" x14ac:dyDescent="0.25">
      <c r="A3" s="9" t="s">
        <v>4</v>
      </c>
      <c r="B3" s="2">
        <v>0.15</v>
      </c>
      <c r="C3" s="8"/>
      <c r="D3" s="9" t="s">
        <v>4</v>
      </c>
      <c r="E3" s="2">
        <v>6.0000000000000001E-3</v>
      </c>
    </row>
    <row r="4" spans="1:21" ht="15.75" x14ac:dyDescent="0.25">
      <c r="A4" s="9" t="s">
        <v>7</v>
      </c>
      <c r="B4" s="7" t="s">
        <v>8</v>
      </c>
      <c r="C4" s="5"/>
      <c r="D4" s="9" t="s">
        <v>7</v>
      </c>
      <c r="E4" s="2">
        <v>4.0299999999999997E-3</v>
      </c>
    </row>
    <row r="5" spans="1:21" x14ac:dyDescent="0.25">
      <c r="A5" s="19"/>
      <c r="B5" s="19"/>
      <c r="D5" s="19"/>
      <c r="E5" s="19"/>
    </row>
    <row r="6" spans="1:21" ht="15.75" x14ac:dyDescent="0.25">
      <c r="A6" s="19"/>
      <c r="B6" s="19"/>
      <c r="D6" s="19"/>
      <c r="E6" s="19"/>
      <c r="K6" s="75" t="s">
        <v>46</v>
      </c>
      <c r="L6" s="75"/>
      <c r="M6" s="75"/>
      <c r="N6" s="75"/>
      <c r="Q6" s="75" t="s">
        <v>60</v>
      </c>
      <c r="R6" s="75"/>
      <c r="T6" s="75" t="s">
        <v>61</v>
      </c>
      <c r="U6" s="75"/>
    </row>
    <row r="8" spans="1:21" ht="33.75" customHeight="1" x14ac:dyDescent="0.25">
      <c r="A8" s="63"/>
      <c r="B8" s="64"/>
      <c r="C8" s="64"/>
      <c r="D8" s="64"/>
      <c r="F8" s="73" t="s">
        <v>18</v>
      </c>
      <c r="G8" s="74"/>
      <c r="I8" s="7" t="s">
        <v>23</v>
      </c>
      <c r="K8" s="18" t="s">
        <v>39</v>
      </c>
      <c r="L8" s="18" t="s">
        <v>43</v>
      </c>
      <c r="M8" s="18" t="s">
        <v>44</v>
      </c>
      <c r="N8" s="18" t="s">
        <v>45</v>
      </c>
      <c r="Q8" s="32" t="s">
        <v>55</v>
      </c>
      <c r="R8" s="32" t="s">
        <v>56</v>
      </c>
      <c r="S8" s="33"/>
      <c r="T8" s="32" t="s">
        <v>55</v>
      </c>
      <c r="U8" s="32" t="s">
        <v>56</v>
      </c>
    </row>
    <row r="9" spans="1:21" ht="47.25" x14ac:dyDescent="0.25">
      <c r="A9" s="12" t="s">
        <v>17</v>
      </c>
      <c r="B9" s="6" t="s">
        <v>24</v>
      </c>
      <c r="C9" s="6" t="s">
        <v>25</v>
      </c>
      <c r="D9" s="6" t="s">
        <v>26</v>
      </c>
      <c r="F9" s="7" t="s">
        <v>6</v>
      </c>
      <c r="G9" s="7" t="s">
        <v>19</v>
      </c>
      <c r="I9" s="15" t="s">
        <v>24</v>
      </c>
      <c r="K9" s="18">
        <v>0.35</v>
      </c>
      <c r="L9" s="18">
        <v>1.4</v>
      </c>
      <c r="M9" s="18">
        <v>2.4</v>
      </c>
      <c r="N9" s="18">
        <v>3.5</v>
      </c>
      <c r="Q9" s="18">
        <v>4.7</v>
      </c>
      <c r="R9" s="18">
        <v>7.3</v>
      </c>
      <c r="S9" s="5"/>
      <c r="T9" s="18">
        <v>6</v>
      </c>
      <c r="U9" s="18">
        <v>9</v>
      </c>
    </row>
    <row r="10" spans="1:21" ht="15.75" x14ac:dyDescent="0.25">
      <c r="A10" s="18">
        <v>0.35</v>
      </c>
      <c r="B10" s="7">
        <v>0.35</v>
      </c>
      <c r="C10" s="7">
        <v>0.5</v>
      </c>
      <c r="D10" s="7">
        <v>0.35</v>
      </c>
      <c r="F10" s="45">
        <v>0.35</v>
      </c>
      <c r="G10" s="46">
        <v>3</v>
      </c>
      <c r="I10" s="7" t="s">
        <v>25</v>
      </c>
      <c r="K10" s="18">
        <v>0.5</v>
      </c>
      <c r="L10" s="18">
        <v>1.6</v>
      </c>
      <c r="M10" s="18">
        <v>2.9</v>
      </c>
      <c r="N10" s="18">
        <v>3.7</v>
      </c>
      <c r="Q10" s="18">
        <v>6</v>
      </c>
      <c r="R10" s="18">
        <v>9</v>
      </c>
      <c r="S10" s="5"/>
      <c r="T10" s="18">
        <v>9</v>
      </c>
      <c r="U10" s="18">
        <v>12</v>
      </c>
    </row>
    <row r="11" spans="1:21" ht="15.75" x14ac:dyDescent="0.25">
      <c r="A11" s="2">
        <v>0.5</v>
      </c>
      <c r="B11" s="7">
        <v>0.5</v>
      </c>
      <c r="C11" s="7">
        <v>0.75</v>
      </c>
      <c r="D11" s="7">
        <v>0.5</v>
      </c>
      <c r="F11" s="2">
        <v>0.5</v>
      </c>
      <c r="G11" s="2">
        <v>11</v>
      </c>
      <c r="I11" s="7" t="s">
        <v>26</v>
      </c>
      <c r="K11" s="18">
        <v>0.75</v>
      </c>
      <c r="L11" s="18">
        <v>1.9</v>
      </c>
      <c r="M11" s="18">
        <v>3.2</v>
      </c>
      <c r="N11" s="18">
        <v>4</v>
      </c>
      <c r="Q11" s="18">
        <v>6.6</v>
      </c>
      <c r="R11" s="18">
        <v>9.6</v>
      </c>
      <c r="S11" s="5"/>
      <c r="T11" s="18">
        <v>12</v>
      </c>
      <c r="U11" s="18">
        <v>16</v>
      </c>
    </row>
    <row r="12" spans="1:21" ht="15.75" x14ac:dyDescent="0.25">
      <c r="A12" s="2">
        <v>0.75</v>
      </c>
      <c r="B12" s="7">
        <v>0.75</v>
      </c>
      <c r="C12" s="7">
        <v>1</v>
      </c>
      <c r="D12" s="7">
        <v>0.75</v>
      </c>
      <c r="F12" s="2">
        <v>0.75</v>
      </c>
      <c r="G12" s="2">
        <v>15</v>
      </c>
      <c r="K12" s="18">
        <v>1</v>
      </c>
      <c r="L12" s="18">
        <v>2.1</v>
      </c>
      <c r="M12" s="18">
        <v>3.3</v>
      </c>
      <c r="N12" s="18">
        <v>4.5</v>
      </c>
      <c r="Q12" s="18">
        <v>7.5</v>
      </c>
      <c r="R12" s="18">
        <v>11</v>
      </c>
      <c r="S12" s="5"/>
      <c r="T12" s="18">
        <v>16</v>
      </c>
      <c r="U12" s="18">
        <v>20</v>
      </c>
    </row>
    <row r="13" spans="1:21" ht="15.75" x14ac:dyDescent="0.25">
      <c r="A13" s="2">
        <v>1</v>
      </c>
      <c r="B13" s="7">
        <v>1</v>
      </c>
      <c r="D13" s="7">
        <v>1</v>
      </c>
      <c r="F13" s="2">
        <v>1</v>
      </c>
      <c r="G13" s="2">
        <v>17</v>
      </c>
      <c r="K13" s="18">
        <v>1.5</v>
      </c>
      <c r="L13" s="18">
        <v>2.4</v>
      </c>
      <c r="M13" s="18">
        <v>3.4</v>
      </c>
      <c r="N13" s="18">
        <v>4.9000000000000004</v>
      </c>
      <c r="Q13" s="18">
        <v>9</v>
      </c>
      <c r="R13" s="18">
        <v>12</v>
      </c>
      <c r="S13" s="5"/>
      <c r="T13" s="18">
        <v>25</v>
      </c>
      <c r="U13" s="18">
        <v>32</v>
      </c>
    </row>
    <row r="14" spans="1:21" ht="15.75" x14ac:dyDescent="0.25">
      <c r="A14" s="2">
        <v>1.5</v>
      </c>
      <c r="B14" s="7">
        <v>1.5</v>
      </c>
      <c r="D14" s="7">
        <v>1.5</v>
      </c>
      <c r="F14" s="2">
        <v>1.5</v>
      </c>
      <c r="G14" s="2">
        <v>23</v>
      </c>
      <c r="K14" s="18">
        <v>2.5</v>
      </c>
      <c r="L14" s="18">
        <v>3</v>
      </c>
      <c r="M14" s="18">
        <v>3.9</v>
      </c>
      <c r="N14" s="18">
        <v>5.5</v>
      </c>
      <c r="Q14" s="18">
        <v>9.4</v>
      </c>
      <c r="R14" s="18">
        <v>13</v>
      </c>
      <c r="S14" s="5"/>
      <c r="T14" s="18">
        <v>42</v>
      </c>
      <c r="U14" s="18">
        <v>51</v>
      </c>
    </row>
    <row r="15" spans="1:21" ht="15.75" x14ac:dyDescent="0.25">
      <c r="A15" s="2">
        <v>2.5</v>
      </c>
      <c r="B15" s="7">
        <v>2.5</v>
      </c>
      <c r="D15" s="7">
        <v>2.5</v>
      </c>
      <c r="F15" s="2">
        <v>2</v>
      </c>
      <c r="G15" s="2">
        <v>26</v>
      </c>
      <c r="K15" s="18">
        <v>4</v>
      </c>
      <c r="L15" s="18">
        <v>3.7</v>
      </c>
      <c r="M15" s="18">
        <v>4.5999999999999996</v>
      </c>
      <c r="N15" s="18">
        <v>6.2</v>
      </c>
      <c r="Q15" s="18">
        <v>9.8000000000000007</v>
      </c>
      <c r="R15" s="18">
        <v>12.7</v>
      </c>
      <c r="S15" s="5"/>
      <c r="T15" s="18"/>
      <c r="U15" s="18"/>
    </row>
    <row r="16" spans="1:21" ht="15.75" x14ac:dyDescent="0.25">
      <c r="A16" s="2">
        <v>4</v>
      </c>
      <c r="B16" s="7">
        <v>4</v>
      </c>
      <c r="D16" s="7">
        <v>4</v>
      </c>
      <c r="F16" s="2">
        <v>2.5</v>
      </c>
      <c r="G16" s="2">
        <v>30</v>
      </c>
      <c r="K16" s="18">
        <v>6</v>
      </c>
      <c r="L16" s="18">
        <v>4.3</v>
      </c>
      <c r="M16" s="18">
        <v>4.8</v>
      </c>
      <c r="N16" s="18">
        <v>6.8</v>
      </c>
      <c r="Q16" s="18">
        <v>11</v>
      </c>
      <c r="R16" s="18">
        <v>15.2</v>
      </c>
      <c r="S16" s="5"/>
      <c r="T16" s="18"/>
      <c r="U16" s="18"/>
    </row>
    <row r="17" spans="1:21" ht="15.75" x14ac:dyDescent="0.25">
      <c r="A17" s="2">
        <v>6</v>
      </c>
      <c r="B17" s="7">
        <v>6</v>
      </c>
      <c r="D17" s="7">
        <v>6</v>
      </c>
      <c r="F17" s="2">
        <v>4</v>
      </c>
      <c r="G17" s="2">
        <v>41</v>
      </c>
      <c r="Q17" s="18">
        <v>11.5</v>
      </c>
      <c r="R17" s="18">
        <v>15.4</v>
      </c>
      <c r="S17" s="5"/>
      <c r="T17" s="19"/>
      <c r="U17" s="19"/>
    </row>
    <row r="18" spans="1:21" ht="15.75" x14ac:dyDescent="0.25">
      <c r="A18" s="2">
        <v>10</v>
      </c>
      <c r="B18" s="11"/>
      <c r="F18" s="2">
        <v>6</v>
      </c>
      <c r="G18" s="2">
        <v>50</v>
      </c>
      <c r="Q18" s="18">
        <v>12</v>
      </c>
      <c r="R18" s="18">
        <v>16</v>
      </c>
      <c r="S18" s="5"/>
      <c r="T18" s="19"/>
      <c r="U18" s="19"/>
    </row>
    <row r="19" spans="1:21" ht="15.75" x14ac:dyDescent="0.25">
      <c r="A19" s="2">
        <v>16</v>
      </c>
      <c r="B19" s="11"/>
      <c r="F19" s="2">
        <v>10</v>
      </c>
      <c r="G19" s="2">
        <v>80</v>
      </c>
      <c r="Q19" s="18">
        <v>12.9</v>
      </c>
      <c r="R19" s="18">
        <v>17</v>
      </c>
      <c r="S19" s="5"/>
      <c r="T19" s="19"/>
      <c r="U19" s="19"/>
    </row>
    <row r="20" spans="1:21" ht="15.75" x14ac:dyDescent="0.25">
      <c r="A20" s="2">
        <v>25</v>
      </c>
      <c r="B20" s="11"/>
      <c r="C20" t="s">
        <v>70</v>
      </c>
      <c r="D20">
        <v>52</v>
      </c>
      <c r="F20" s="2">
        <v>16</v>
      </c>
      <c r="G20" s="2">
        <v>100</v>
      </c>
      <c r="Q20" s="18">
        <v>13.4</v>
      </c>
      <c r="R20" s="18">
        <v>18.3</v>
      </c>
      <c r="S20" s="5"/>
      <c r="T20" s="19"/>
      <c r="U20" s="19"/>
    </row>
    <row r="21" spans="1:21" ht="15.75" x14ac:dyDescent="0.25">
      <c r="A21" s="2">
        <v>35</v>
      </c>
      <c r="B21" s="11"/>
      <c r="C21" t="s">
        <v>75</v>
      </c>
      <c r="D21">
        <v>67</v>
      </c>
      <c r="F21" s="2">
        <v>25</v>
      </c>
      <c r="G21" s="2">
        <v>140</v>
      </c>
      <c r="Q21" s="18">
        <v>14.7</v>
      </c>
      <c r="R21" s="18">
        <v>19.3</v>
      </c>
      <c r="S21" s="5"/>
    </row>
    <row r="22" spans="1:21" ht="15.75" x14ac:dyDescent="0.25">
      <c r="A22" s="2">
        <v>50</v>
      </c>
      <c r="B22" s="11"/>
      <c r="F22" s="2">
        <v>35</v>
      </c>
      <c r="G22" s="2">
        <v>170</v>
      </c>
      <c r="Q22" s="18">
        <v>16</v>
      </c>
      <c r="R22" s="18">
        <v>20</v>
      </c>
      <c r="S22" s="5"/>
    </row>
    <row r="23" spans="1:21" ht="15.75" x14ac:dyDescent="0.25">
      <c r="A23" s="13">
        <v>70</v>
      </c>
      <c r="B23" s="11"/>
      <c r="F23" s="2">
        <v>50</v>
      </c>
      <c r="G23" s="2">
        <v>215</v>
      </c>
      <c r="Q23" s="18">
        <v>16.5</v>
      </c>
      <c r="R23" s="18">
        <v>21.2</v>
      </c>
      <c r="S23" s="5"/>
    </row>
    <row r="24" spans="1:21" ht="15.75" x14ac:dyDescent="0.25">
      <c r="A24" s="13">
        <v>95</v>
      </c>
      <c r="B24" s="11"/>
      <c r="F24" s="13">
        <v>70</v>
      </c>
      <c r="G24" s="2">
        <v>270</v>
      </c>
      <c r="Q24" s="18">
        <v>18.5</v>
      </c>
      <c r="R24" s="18">
        <v>24.2</v>
      </c>
      <c r="S24" s="5"/>
    </row>
    <row r="25" spans="1:21" ht="15.75" x14ac:dyDescent="0.25">
      <c r="A25" s="13">
        <v>120</v>
      </c>
      <c r="B25" s="11"/>
      <c r="F25" s="13">
        <v>95</v>
      </c>
      <c r="G25" s="2">
        <v>330</v>
      </c>
      <c r="Q25" s="18">
        <v>19.899999999999999</v>
      </c>
      <c r="R25" s="18">
        <v>25</v>
      </c>
      <c r="S25" s="5"/>
    </row>
    <row r="26" spans="1:21" ht="15.75" x14ac:dyDescent="0.25">
      <c r="A26" s="13">
        <v>150</v>
      </c>
      <c r="B26" s="11"/>
      <c r="F26" s="13">
        <v>120</v>
      </c>
      <c r="G26" s="2">
        <v>385</v>
      </c>
      <c r="Q26" s="18">
        <v>22.6</v>
      </c>
      <c r="R26" s="18">
        <v>28.3</v>
      </c>
      <c r="S26" s="5"/>
    </row>
    <row r="27" spans="1:21" ht="15.75" x14ac:dyDescent="0.25">
      <c r="A27" s="13">
        <v>185</v>
      </c>
      <c r="B27" s="11"/>
      <c r="F27" s="13">
        <v>150</v>
      </c>
      <c r="G27" s="2">
        <v>440</v>
      </c>
      <c r="Q27" s="18">
        <v>25</v>
      </c>
      <c r="R27" s="18">
        <v>32</v>
      </c>
      <c r="S27" s="5"/>
    </row>
    <row r="28" spans="1:21" ht="15.75" x14ac:dyDescent="0.25">
      <c r="A28" s="13">
        <v>240</v>
      </c>
      <c r="B28" s="11"/>
      <c r="F28" s="13">
        <v>185</v>
      </c>
      <c r="G28" s="2">
        <v>510</v>
      </c>
      <c r="Q28" s="18">
        <v>26</v>
      </c>
      <c r="R28" s="18">
        <v>32.200000000000003</v>
      </c>
      <c r="S28" s="5"/>
    </row>
    <row r="29" spans="1:21" ht="15.75" x14ac:dyDescent="0.25">
      <c r="A29" s="13">
        <v>300</v>
      </c>
      <c r="B29" s="11"/>
      <c r="F29" s="13">
        <v>240</v>
      </c>
      <c r="G29" s="2">
        <v>605</v>
      </c>
      <c r="Q29" s="18">
        <v>32.5</v>
      </c>
      <c r="R29" s="18">
        <v>40.5</v>
      </c>
      <c r="S29" s="5"/>
    </row>
    <row r="30" spans="1:21" ht="15.75" x14ac:dyDescent="0.25">
      <c r="A30" s="13">
        <v>400</v>
      </c>
      <c r="B30" s="11"/>
      <c r="F30" s="13">
        <v>300</v>
      </c>
      <c r="G30" s="2">
        <v>695</v>
      </c>
      <c r="Q30" s="18">
        <v>42</v>
      </c>
      <c r="R30" s="18">
        <v>51</v>
      </c>
      <c r="S30" s="5"/>
    </row>
    <row r="31" spans="1:21" ht="15.75" x14ac:dyDescent="0.25">
      <c r="Q31" s="18">
        <v>53</v>
      </c>
      <c r="R31" s="18">
        <v>64.2</v>
      </c>
      <c r="S31" s="5"/>
    </row>
    <row r="32" spans="1:21" ht="15.75" x14ac:dyDescent="0.25">
      <c r="A32" s="2" t="s">
        <v>31</v>
      </c>
      <c r="Q32" s="18">
        <v>62.5</v>
      </c>
      <c r="R32" s="18">
        <v>76.5</v>
      </c>
      <c r="S32" s="5"/>
    </row>
    <row r="33" spans="1:19" ht="15.75" x14ac:dyDescent="0.25">
      <c r="A33" s="2">
        <v>1</v>
      </c>
      <c r="Q33" s="18">
        <v>110</v>
      </c>
      <c r="R33" s="18">
        <v>127</v>
      </c>
      <c r="S33" s="5"/>
    </row>
    <row r="34" spans="1:19" ht="15.75" x14ac:dyDescent="0.25">
      <c r="A34" s="2">
        <v>2</v>
      </c>
      <c r="Q34" s="5"/>
      <c r="R34" s="5"/>
      <c r="S34" s="5"/>
    </row>
    <row r="35" spans="1:19" ht="15.75" x14ac:dyDescent="0.25">
      <c r="A35" s="2">
        <v>4</v>
      </c>
      <c r="Q35" s="5"/>
      <c r="R35" s="5"/>
      <c r="S35" s="5"/>
    </row>
    <row r="36" spans="1:19" ht="15.75" x14ac:dyDescent="0.25">
      <c r="A36" s="2">
        <v>6</v>
      </c>
    </row>
    <row r="37" spans="1:19" ht="15.75" x14ac:dyDescent="0.25">
      <c r="A37" s="2">
        <v>8</v>
      </c>
    </row>
    <row r="38" spans="1:19" ht="15.75" x14ac:dyDescent="0.25">
      <c r="A38" s="2">
        <v>10</v>
      </c>
    </row>
    <row r="39" spans="1:19" ht="15.75" x14ac:dyDescent="0.25">
      <c r="A39" s="2">
        <v>12</v>
      </c>
    </row>
    <row r="40" spans="1:19" ht="15.75" x14ac:dyDescent="0.25">
      <c r="A40" s="2">
        <v>14</v>
      </c>
    </row>
    <row r="41" spans="1:19" ht="15.75" x14ac:dyDescent="0.25">
      <c r="A41" s="2">
        <v>16</v>
      </c>
    </row>
    <row r="42" spans="1:19" ht="15.75" x14ac:dyDescent="0.25">
      <c r="A42" s="2">
        <v>18</v>
      </c>
    </row>
    <row r="43" spans="1:19" ht="15.75" x14ac:dyDescent="0.25">
      <c r="A43" s="2">
        <v>20</v>
      </c>
    </row>
    <row r="44" spans="1:19" ht="15.75" x14ac:dyDescent="0.25">
      <c r="A44" s="2">
        <v>22</v>
      </c>
    </row>
    <row r="45" spans="1:19" ht="15.75" x14ac:dyDescent="0.25">
      <c r="A45" s="2">
        <v>24</v>
      </c>
    </row>
    <row r="46" spans="1:19" ht="15.75" x14ac:dyDescent="0.25">
      <c r="A46" s="2">
        <v>26</v>
      </c>
    </row>
    <row r="47" spans="1:19" ht="15.75" x14ac:dyDescent="0.25">
      <c r="A47" s="2">
        <v>28</v>
      </c>
    </row>
    <row r="48" spans="1:19" ht="15.75" x14ac:dyDescent="0.25">
      <c r="A48" s="2">
        <v>30</v>
      </c>
    </row>
    <row r="53" spans="1:13" x14ac:dyDescent="0.25">
      <c r="F53" t="s">
        <v>87</v>
      </c>
    </row>
    <row r="54" spans="1:13" x14ac:dyDescent="0.25">
      <c r="F54">
        <v>100</v>
      </c>
    </row>
    <row r="55" spans="1:13" x14ac:dyDescent="0.25">
      <c r="D55" t="s">
        <v>80</v>
      </c>
      <c r="F55" t="s">
        <v>82</v>
      </c>
    </row>
    <row r="56" spans="1:13" x14ac:dyDescent="0.25">
      <c r="B56" t="s">
        <v>81</v>
      </c>
      <c r="C56">
        <v>100</v>
      </c>
      <c r="D56">
        <v>100</v>
      </c>
      <c r="F56">
        <v>100</v>
      </c>
    </row>
    <row r="57" spans="1:13" x14ac:dyDescent="0.25">
      <c r="D57" t="s">
        <v>88</v>
      </c>
      <c r="F57" t="s">
        <v>86</v>
      </c>
      <c r="J57" t="s">
        <v>85</v>
      </c>
    </row>
    <row r="58" spans="1:13" x14ac:dyDescent="0.25">
      <c r="D58">
        <v>100</v>
      </c>
      <c r="F58">
        <v>500</v>
      </c>
      <c r="J58">
        <v>200</v>
      </c>
    </row>
    <row r="59" spans="1:13" x14ac:dyDescent="0.25">
      <c r="A59" t="s">
        <v>70</v>
      </c>
      <c r="B59" t="s">
        <v>76</v>
      </c>
      <c r="C59">
        <v>100</v>
      </c>
      <c r="D59">
        <v>0</v>
      </c>
      <c r="E59">
        <v>200</v>
      </c>
      <c r="F59">
        <v>0</v>
      </c>
      <c r="G59">
        <v>200</v>
      </c>
      <c r="H59">
        <v>0</v>
      </c>
      <c r="I59">
        <v>100</v>
      </c>
      <c r="J59">
        <v>0</v>
      </c>
      <c r="K59">
        <v>500</v>
      </c>
      <c r="L59">
        <v>0</v>
      </c>
      <c r="M59" t="s">
        <v>77</v>
      </c>
    </row>
    <row r="60" spans="1:13" x14ac:dyDescent="0.25">
      <c r="H60">
        <v>100</v>
      </c>
      <c r="L60">
        <v>100</v>
      </c>
    </row>
    <row r="61" spans="1:13" x14ac:dyDescent="0.25">
      <c r="H61" t="s">
        <v>84</v>
      </c>
      <c r="L61" t="s">
        <v>83</v>
      </c>
    </row>
    <row r="62" spans="1:13" x14ac:dyDescent="0.25">
      <c r="L62">
        <v>100</v>
      </c>
    </row>
    <row r="63" spans="1:13" x14ac:dyDescent="0.25">
      <c r="L63" t="s">
        <v>72</v>
      </c>
      <c r="M63">
        <v>200</v>
      </c>
    </row>
    <row r="64" spans="1:13" x14ac:dyDescent="0.25">
      <c r="M64" t="s">
        <v>74</v>
      </c>
    </row>
    <row r="72" spans="1:15" x14ac:dyDescent="0.25">
      <c r="L72" t="s">
        <v>71</v>
      </c>
    </row>
    <row r="73" spans="1:15" x14ac:dyDescent="0.25">
      <c r="L73">
        <v>100</v>
      </c>
    </row>
    <row r="74" spans="1:15" x14ac:dyDescent="0.25">
      <c r="A74" t="s">
        <v>75</v>
      </c>
      <c r="B74" t="s">
        <v>90</v>
      </c>
      <c r="C74">
        <v>100</v>
      </c>
      <c r="D74">
        <v>0</v>
      </c>
      <c r="E74">
        <v>100</v>
      </c>
      <c r="F74">
        <v>0</v>
      </c>
      <c r="G74">
        <v>100</v>
      </c>
      <c r="H74">
        <v>0</v>
      </c>
      <c r="I74">
        <v>200</v>
      </c>
      <c r="J74">
        <v>0</v>
      </c>
      <c r="K74">
        <v>300</v>
      </c>
      <c r="L74">
        <v>0</v>
      </c>
      <c r="M74">
        <v>110</v>
      </c>
      <c r="N74">
        <v>0</v>
      </c>
      <c r="O74" t="s">
        <v>73</v>
      </c>
    </row>
    <row r="75" spans="1:15" x14ac:dyDescent="0.25">
      <c r="H75">
        <v>300</v>
      </c>
    </row>
    <row r="76" spans="1:15" x14ac:dyDescent="0.25">
      <c r="H76" t="s">
        <v>91</v>
      </c>
    </row>
    <row r="77" spans="1:15" x14ac:dyDescent="0.25">
      <c r="H77">
        <v>100</v>
      </c>
    </row>
    <row r="78" spans="1:15" x14ac:dyDescent="0.25">
      <c r="H78" t="s">
        <v>92</v>
      </c>
    </row>
  </sheetData>
  <mergeCells count="4">
    <mergeCell ref="F8:G8"/>
    <mergeCell ref="K6:N6"/>
    <mergeCell ref="Q6:R6"/>
    <mergeCell ref="T6:U6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Расчет</vt:lpstr>
      <vt:lpstr>Расчет гофры</vt:lpstr>
      <vt:lpstr>Расчет жгута</vt:lpstr>
      <vt:lpstr>Экспорт</vt:lpstr>
      <vt:lpstr>Вспомогательные 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Лисов Андрей Анатольевич</dc:creator>
  <cp:lastModifiedBy>Лисов Андрей Анатольевич</cp:lastModifiedBy>
  <dcterms:created xsi:type="dcterms:W3CDTF">2015-06-05T18:19:34Z</dcterms:created>
  <dcterms:modified xsi:type="dcterms:W3CDTF">2025-06-25T03:22:20Z</dcterms:modified>
</cp:coreProperties>
</file>